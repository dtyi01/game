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游戏\"/>
    </mc:Choice>
  </mc:AlternateContent>
  <xr:revisionPtr revIDLastSave="0" documentId="8_{E0B58F63-12F8-4917-9F18-FDC67AEF6342}" xr6:coauthVersionLast="47" xr6:coauthVersionMax="47" xr10:uidLastSave="{00000000-0000-0000-0000-000000000000}"/>
  <bookViews>
    <workbookView xWindow="-108" yWindow="-108" windowWidth="30936" windowHeight="16776" activeTab="3" xr2:uid="{00000000-000D-0000-FFFF-FFFF00000000}"/>
  </bookViews>
  <sheets>
    <sheet name="武器数据" sheetId="1" r:id="rId1"/>
    <sheet name="防护数据" sheetId="2" r:id="rId2"/>
    <sheet name="部位数据" sheetId="3" r:id="rId3"/>
    <sheet name="战斗模拟器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4" i="4" l="1"/>
  <c r="C15" i="4"/>
  <c r="F14" i="4"/>
  <c r="F13" i="4"/>
  <c r="C13" i="4"/>
  <c r="C19" i="4" l="1"/>
  <c r="C20" i="4" s="1"/>
  <c r="C21" i="4" s="1"/>
</calcChain>
</file>

<file path=xl/sharedStrings.xml><?xml version="1.0" encoding="utf-8"?>
<sst xmlns="http://schemas.openxmlformats.org/spreadsheetml/2006/main" count="145" uniqueCount="117">
  <si>
    <t>武器名称</t>
  </si>
  <si>
    <t>基础伤害</t>
  </si>
  <si>
    <r>
      <rPr>
        <b/>
        <sz val="11"/>
        <color rgb="FFFFFFFF"/>
        <rFont val="Droid Sans Fallback"/>
        <family val="2"/>
        <charset val="1"/>
      </rPr>
      <t>射击间隔</t>
    </r>
    <r>
      <rPr>
        <b/>
        <sz val="11"/>
        <color rgb="FFFFFFFF"/>
        <rFont val="Cambria"/>
        <family val="1"/>
      </rPr>
      <t>(</t>
    </r>
    <r>
      <rPr>
        <b/>
        <sz val="11"/>
        <color rgb="FFFFFFFF"/>
        <rFont val="Droid Sans Fallback"/>
        <family val="2"/>
        <charset val="1"/>
      </rPr>
      <t>秒</t>
    </r>
    <r>
      <rPr>
        <b/>
        <sz val="11"/>
        <color rgb="FFFFFFFF"/>
        <rFont val="Cambria"/>
        <family val="1"/>
      </rPr>
      <t>)</t>
    </r>
  </si>
  <si>
    <t>M416</t>
  </si>
  <si>
    <t>AKM</t>
  </si>
  <si>
    <t>SCAR-L</t>
  </si>
  <si>
    <t>防护等级</t>
  </si>
  <si>
    <t>减免系数</t>
  </si>
  <si>
    <t>说明</t>
  </si>
  <si>
    <t>无甲</t>
  </si>
  <si>
    <t>无减伤效果</t>
  </si>
  <si>
    <t>一级甲</t>
  </si>
  <si>
    <r>
      <rPr>
        <sz val="11"/>
        <color theme="1"/>
        <rFont val="Calibri"/>
        <family val="2"/>
        <charset val="1"/>
      </rPr>
      <t>30%</t>
    </r>
    <r>
      <rPr>
        <sz val="11"/>
        <color theme="1"/>
        <rFont val="Droid Sans Fallback"/>
        <family val="2"/>
        <charset val="1"/>
      </rPr>
      <t>减伤</t>
    </r>
  </si>
  <si>
    <t>二级甲</t>
  </si>
  <si>
    <r>
      <rPr>
        <sz val="11"/>
        <color theme="1"/>
        <rFont val="Calibri"/>
        <family val="2"/>
        <charset val="1"/>
      </rPr>
      <t>40%</t>
    </r>
    <r>
      <rPr>
        <sz val="11"/>
        <color theme="1"/>
        <rFont val="Droid Sans Fallback"/>
        <family val="2"/>
        <charset val="1"/>
      </rPr>
      <t>减伤</t>
    </r>
  </si>
  <si>
    <t>三级甲</t>
  </si>
  <si>
    <r>
      <rPr>
        <sz val="11"/>
        <color theme="1"/>
        <rFont val="Calibri"/>
        <family val="2"/>
        <charset val="1"/>
      </rPr>
      <t>55%</t>
    </r>
    <r>
      <rPr>
        <sz val="11"/>
        <color theme="1"/>
        <rFont val="Droid Sans Fallback"/>
        <family val="2"/>
        <charset val="1"/>
      </rPr>
      <t>减伤</t>
    </r>
  </si>
  <si>
    <t>攻击部位</t>
  </si>
  <si>
    <t>是否受护甲保护</t>
  </si>
  <si>
    <t>头部</t>
  </si>
  <si>
    <t>否</t>
  </si>
  <si>
    <t>四肢</t>
  </si>
  <si>
    <r>
      <rPr>
        <b/>
        <sz val="20"/>
        <color rgb="FFF39C12"/>
        <rFont val="Cambria"/>
        <family val="1"/>
      </rPr>
      <t xml:space="preserve">PUBG </t>
    </r>
    <r>
      <rPr>
        <b/>
        <sz val="20"/>
        <color rgb="FFF39C12"/>
        <rFont val="Droid Sans Fallback"/>
        <family val="2"/>
        <charset val="1"/>
      </rPr>
      <t>战斗伤害模拟器</t>
    </r>
  </si>
  <si>
    <t>Battle Damage Simulator</t>
  </si>
  <si>
    <r>
      <rPr>
        <b/>
        <sz val="11"/>
        <color rgb="FFFFFFFF"/>
        <rFont val="Droid Sans Fallback"/>
        <family val="2"/>
        <charset val="1"/>
      </rPr>
      <t>武器类型</t>
    </r>
    <r>
      <rPr>
        <b/>
        <sz val="11"/>
        <color rgb="FFFFFFFF"/>
        <rFont val="Cambria"/>
        <family val="1"/>
      </rPr>
      <t>:</t>
    </r>
  </si>
  <si>
    <r>
      <rPr>
        <b/>
        <sz val="11"/>
        <color rgb="FFFFFFFF"/>
        <rFont val="Droid Sans Fallback"/>
        <family val="2"/>
        <charset val="1"/>
      </rPr>
      <t>防护等级</t>
    </r>
    <r>
      <rPr>
        <b/>
        <sz val="11"/>
        <color rgb="FFFFFFFF"/>
        <rFont val="Cambria"/>
        <family val="1"/>
      </rPr>
      <t>:</t>
    </r>
  </si>
  <si>
    <r>
      <rPr>
        <b/>
        <sz val="11"/>
        <color rgb="FFFFFFFF"/>
        <rFont val="Droid Sans Fallback"/>
        <family val="2"/>
        <charset val="1"/>
      </rPr>
      <t>攻击部位</t>
    </r>
    <r>
      <rPr>
        <b/>
        <sz val="11"/>
        <color rgb="FFFFFFFF"/>
        <rFont val="Cambria"/>
        <family val="1"/>
      </rPr>
      <t>:</t>
    </r>
  </si>
  <si>
    <t>【当前参数】</t>
  </si>
  <si>
    <r>
      <rPr>
        <sz val="10"/>
        <color rgb="FFAAAAAA"/>
        <rFont val="Droid Sans Fallback"/>
        <family val="2"/>
        <charset val="1"/>
      </rPr>
      <t>基础伤害</t>
    </r>
    <r>
      <rPr>
        <sz val="10"/>
        <color rgb="FFAAAAAA"/>
        <rFont val="Cambria"/>
        <family val="1"/>
      </rPr>
      <t>:</t>
    </r>
  </si>
  <si>
    <r>
      <rPr>
        <sz val="10"/>
        <color rgb="FFAAAAAA"/>
        <rFont val="Droid Sans Fallback"/>
        <family val="2"/>
        <charset val="1"/>
      </rPr>
      <t>防护减免系数</t>
    </r>
    <r>
      <rPr>
        <sz val="10"/>
        <color rgb="FFAAAAAA"/>
        <rFont val="Cambria"/>
        <family val="1"/>
      </rPr>
      <t>:</t>
    </r>
  </si>
  <si>
    <r>
      <rPr>
        <sz val="10"/>
        <color rgb="FFAAAAAA"/>
        <rFont val="Droid Sans Fallback"/>
        <family val="2"/>
        <charset val="1"/>
      </rPr>
      <t>射速</t>
    </r>
    <r>
      <rPr>
        <sz val="10"/>
        <color rgb="FFAAAAAA"/>
        <rFont val="Cambria"/>
        <family val="1"/>
      </rPr>
      <t>(RPM):</t>
    </r>
  </si>
  <si>
    <r>
      <rPr>
        <sz val="10"/>
        <color rgb="FFAAAAAA"/>
        <rFont val="Droid Sans Fallback"/>
        <family val="2"/>
        <charset val="1"/>
      </rPr>
      <t>部位伤害倍率</t>
    </r>
    <r>
      <rPr>
        <sz val="10"/>
        <color rgb="FFAAAAAA"/>
        <rFont val="Cambria"/>
        <family val="1"/>
      </rPr>
      <t>:</t>
    </r>
  </si>
  <si>
    <r>
      <rPr>
        <sz val="10"/>
        <color rgb="FFAAAAAA"/>
        <rFont val="Droid Sans Fallback"/>
        <family val="2"/>
        <charset val="1"/>
      </rPr>
      <t>射击间隔</t>
    </r>
    <r>
      <rPr>
        <sz val="10"/>
        <color rgb="FFAAAAAA"/>
        <rFont val="Cambria"/>
        <family val="1"/>
      </rPr>
      <t>(</t>
    </r>
    <r>
      <rPr>
        <sz val="10"/>
        <color rgb="FFAAAAAA"/>
        <rFont val="Droid Sans Fallback"/>
        <family val="2"/>
        <charset val="1"/>
      </rPr>
      <t>秒</t>
    </r>
    <r>
      <rPr>
        <sz val="10"/>
        <color rgb="FFAAAAAA"/>
        <rFont val="Cambria"/>
        <family val="1"/>
      </rPr>
      <t>):</t>
    </r>
  </si>
  <si>
    <t>【计算结果】</t>
  </si>
  <si>
    <r>
      <rPr>
        <b/>
        <sz val="11"/>
        <color rgb="FFFFFFFF"/>
        <rFont val="Droid Sans Fallback"/>
        <family val="2"/>
        <charset val="1"/>
      </rPr>
      <t>实际单发伤害</t>
    </r>
    <r>
      <rPr>
        <b/>
        <sz val="11"/>
        <color rgb="FFFFFFFF"/>
        <rFont val="Cambria"/>
        <family val="1"/>
      </rPr>
      <t>:</t>
    </r>
  </si>
  <si>
    <t>点</t>
  </si>
  <si>
    <r>
      <rPr>
        <i/>
        <sz val="8"/>
        <color rgb="FF666666"/>
        <rFont val="Droid Sans Fallback"/>
        <family val="2"/>
        <charset val="1"/>
      </rPr>
      <t>公式</t>
    </r>
    <r>
      <rPr>
        <i/>
        <sz val="8"/>
        <color rgb="FF666666"/>
        <rFont val="Cambria"/>
        <family val="1"/>
      </rPr>
      <t xml:space="preserve">: </t>
    </r>
    <r>
      <rPr>
        <i/>
        <sz val="8"/>
        <color rgb="FF666666"/>
        <rFont val="Droid Sans Fallback"/>
        <family val="2"/>
        <charset val="1"/>
      </rPr>
      <t>基础伤害</t>
    </r>
    <r>
      <rPr>
        <i/>
        <sz val="8"/>
        <color rgb="FF666666"/>
        <rFont val="Cambria"/>
        <family val="1"/>
      </rPr>
      <t>×(1-</t>
    </r>
    <r>
      <rPr>
        <i/>
        <sz val="8"/>
        <color rgb="FF666666"/>
        <rFont val="Droid Sans Fallback"/>
        <family val="2"/>
        <charset val="1"/>
      </rPr>
      <t>减免</t>
    </r>
    <r>
      <rPr>
        <i/>
        <sz val="8"/>
        <color rgb="FF666666"/>
        <rFont val="Cambria"/>
        <family val="1"/>
      </rPr>
      <t>)×</t>
    </r>
    <r>
      <rPr>
        <i/>
        <sz val="8"/>
        <color rgb="FF666666"/>
        <rFont val="Droid Sans Fallback"/>
        <family val="2"/>
        <charset val="1"/>
      </rPr>
      <t>倍率</t>
    </r>
  </si>
  <si>
    <r>
      <rPr>
        <b/>
        <sz val="11"/>
        <color rgb="FFFFFFFF"/>
        <rFont val="Droid Sans Fallback"/>
        <family val="2"/>
        <charset val="1"/>
      </rPr>
      <t>致死枪数</t>
    </r>
    <r>
      <rPr>
        <b/>
        <sz val="11"/>
        <color rgb="FFFFFFFF"/>
        <rFont val="Cambria"/>
        <family val="1"/>
      </rPr>
      <t>(BTK):</t>
    </r>
  </si>
  <si>
    <t>发</t>
  </si>
  <si>
    <r>
      <rPr>
        <i/>
        <sz val="8"/>
        <color rgb="FF666666"/>
        <rFont val="Droid Sans Fallback"/>
        <family val="2"/>
        <charset val="1"/>
      </rPr>
      <t>公式</t>
    </r>
    <r>
      <rPr>
        <i/>
        <sz val="8"/>
        <color rgb="FF666666"/>
        <rFont val="Cambria"/>
        <family val="1"/>
      </rPr>
      <t>: CEILING(100/</t>
    </r>
    <r>
      <rPr>
        <i/>
        <sz val="8"/>
        <color rgb="FF666666"/>
        <rFont val="Droid Sans Fallback"/>
        <family val="2"/>
        <charset val="1"/>
      </rPr>
      <t>实际伤害</t>
    </r>
    <r>
      <rPr>
        <i/>
        <sz val="8"/>
        <color rgb="FF666666"/>
        <rFont val="Cambria"/>
        <family val="1"/>
      </rPr>
      <t>,1)</t>
    </r>
  </si>
  <si>
    <r>
      <rPr>
        <b/>
        <sz val="11"/>
        <color rgb="FFFFFFFF"/>
        <rFont val="Droid Sans Fallback"/>
        <family val="2"/>
        <charset val="1"/>
      </rPr>
      <t>击杀时间</t>
    </r>
    <r>
      <rPr>
        <b/>
        <sz val="11"/>
        <color rgb="FFFFFFFF"/>
        <rFont val="Cambria"/>
        <family val="1"/>
      </rPr>
      <t>(TTK):</t>
    </r>
  </si>
  <si>
    <t>秒</t>
  </si>
  <si>
    <r>
      <rPr>
        <i/>
        <sz val="8"/>
        <color rgb="FF666666"/>
        <rFont val="Droid Sans Fallback"/>
        <family val="2"/>
        <charset val="1"/>
      </rPr>
      <t>公式</t>
    </r>
    <r>
      <rPr>
        <i/>
        <sz val="8"/>
        <color rgb="FF666666"/>
        <rFont val="Cambria"/>
        <family val="1"/>
      </rPr>
      <t>: BTK×</t>
    </r>
    <r>
      <rPr>
        <i/>
        <sz val="8"/>
        <color rgb="FF666666"/>
        <rFont val="Droid Sans Fallback"/>
        <family val="2"/>
        <charset val="1"/>
      </rPr>
      <t>射击间隔</t>
    </r>
  </si>
  <si>
    <t>【使用说明】</t>
  </si>
  <si>
    <r>
      <rPr>
        <sz val="9"/>
        <color rgb="FF888888"/>
        <rFont val="Cambria"/>
        <family val="1"/>
      </rPr>
      <t xml:space="preserve">1. </t>
    </r>
    <r>
      <rPr>
        <sz val="9"/>
        <color rgb="FF888888"/>
        <rFont val="Droid Sans Fallback"/>
        <family val="2"/>
        <charset val="1"/>
      </rPr>
      <t>从下拉菜单中选择武器类型、防护等级和攻击部位</t>
    </r>
  </si>
  <si>
    <r>
      <rPr>
        <sz val="9"/>
        <color rgb="FF888888"/>
        <rFont val="Cambria"/>
        <family val="1"/>
      </rPr>
      <t xml:space="preserve">2. </t>
    </r>
    <r>
      <rPr>
        <sz val="9"/>
        <color rgb="FF888888"/>
        <rFont val="Droid Sans Fallback"/>
        <family val="2"/>
        <charset val="1"/>
      </rPr>
      <t>当前参数区域会自动显示对应的基础数值</t>
    </r>
  </si>
  <si>
    <r>
      <rPr>
        <sz val="9"/>
        <color rgb="FF888888"/>
        <rFont val="Cambria"/>
        <family val="1"/>
      </rPr>
      <t xml:space="preserve">3. </t>
    </r>
    <r>
      <rPr>
        <sz val="9"/>
        <color rgb="FF888888"/>
        <rFont val="Droid Sans Fallback"/>
        <family val="2"/>
        <charset val="1"/>
      </rPr>
      <t>计算结果区域会自动更新实际伤害、</t>
    </r>
    <r>
      <rPr>
        <sz val="9"/>
        <color rgb="FF888888"/>
        <rFont val="Cambria"/>
        <family val="1"/>
      </rPr>
      <t>BTK</t>
    </r>
    <r>
      <rPr>
        <sz val="9"/>
        <color rgb="FF888888"/>
        <rFont val="Droid Sans Fallback"/>
        <family val="2"/>
        <charset val="1"/>
      </rPr>
      <t>和</t>
    </r>
    <r>
      <rPr>
        <sz val="9"/>
        <color rgb="FF888888"/>
        <rFont val="Cambria"/>
        <family val="1"/>
      </rPr>
      <t>TTK</t>
    </r>
  </si>
  <si>
    <r>
      <rPr>
        <sz val="9"/>
        <color rgb="FF888888"/>
        <rFont val="Cambria"/>
        <family val="1"/>
      </rPr>
      <t xml:space="preserve">4. </t>
    </r>
    <r>
      <rPr>
        <sz val="9"/>
        <color rgb="FF888888"/>
        <rFont val="Droid Sans Fallback"/>
        <family val="2"/>
        <charset val="1"/>
      </rPr>
      <t>特殊规则：四肢部位不受防弹衣减伤影响</t>
    </r>
  </si>
  <si>
    <r>
      <rPr>
        <sz val="9"/>
        <color rgb="FF888888"/>
        <rFont val="Cambria"/>
        <family val="1"/>
      </rPr>
      <t>5. BTK = Bullets To Kill</t>
    </r>
    <r>
      <rPr>
        <sz val="9"/>
        <color rgb="FF888888"/>
        <rFont val="Droid Sans Fallback"/>
        <family val="2"/>
        <charset val="1"/>
      </rPr>
      <t>（致死枪数），</t>
    </r>
    <r>
      <rPr>
        <sz val="9"/>
        <color rgb="FF888888"/>
        <rFont val="Cambria"/>
        <family val="1"/>
      </rPr>
      <t>TTK = Time To Kill</t>
    </r>
    <r>
      <rPr>
        <sz val="9"/>
        <color rgb="FF888888"/>
        <rFont val="Droid Sans Fallback"/>
        <family val="2"/>
        <charset val="1"/>
      </rPr>
      <t>（击杀时间）</t>
    </r>
  </si>
  <si>
    <t>【选择区域】</t>
    <phoneticPr fontId="19" type="noConversion"/>
  </si>
  <si>
    <t>M16A4</t>
  </si>
  <si>
    <t>QBZ</t>
  </si>
  <si>
    <t>G36C</t>
  </si>
  <si>
    <t>Groza</t>
  </si>
  <si>
    <t>UMP45</t>
  </si>
  <si>
    <t>Vector</t>
  </si>
  <si>
    <t>MP5K</t>
  </si>
  <si>
    <t>AWM</t>
  </si>
  <si>
    <t>M24</t>
  </si>
  <si>
    <t>Mini-14</t>
  </si>
  <si>
    <t>SKS</t>
  </si>
  <si>
    <t>VSS</t>
  </si>
  <si>
    <t>Mk12</t>
  </si>
  <si>
    <t>S12K</t>
  </si>
  <si>
    <t>S686</t>
  </si>
  <si>
    <t>S1897</t>
  </si>
  <si>
    <t>DBS</t>
  </si>
  <si>
    <t>M249</t>
  </si>
  <si>
    <t>DP-28</t>
  </si>
  <si>
    <t>P1911</t>
  </si>
  <si>
    <t>P92</t>
  </si>
  <si>
    <t>R1895</t>
  </si>
  <si>
    <t>ACE32</t>
  </si>
  <si>
    <t>AUG</t>
  </si>
  <si>
    <t>K2</t>
  </si>
  <si>
    <t>Lynx-AMR</t>
  </si>
  <si>
    <t>MosinNagant</t>
  </si>
  <si>
    <t>MK14</t>
  </si>
  <si>
    <t>自动装填步枪</t>
  </si>
  <si>
    <t>QBU</t>
  </si>
  <si>
    <t>98K</t>
  </si>
  <si>
    <t>Win94</t>
  </si>
  <si>
    <t>MK47</t>
  </si>
  <si>
    <t>Beryl-M762</t>
  </si>
  <si>
    <t>P90</t>
  </si>
  <si>
    <t>Micor-UZI</t>
  </si>
  <si>
    <t>PP-19</t>
  </si>
  <si>
    <t>汤姆逊</t>
  </si>
  <si>
    <t>26×9</t>
  </si>
  <si>
    <t>截短霰弹枪</t>
  </si>
  <si>
    <t>22×9</t>
  </si>
  <si>
    <t>28×9</t>
  </si>
  <si>
    <t>24×9</t>
  </si>
  <si>
    <t>信号枪</t>
  </si>
  <si>
    <t>/</t>
  </si>
  <si>
    <t>P18C</t>
  </si>
  <si>
    <t>R45</t>
  </si>
  <si>
    <t>蝎式手枪</t>
  </si>
  <si>
    <t>DesertEagle</t>
  </si>
  <si>
    <t>MG3</t>
  </si>
  <si>
    <t>0.0606/0.091</t>
  </si>
  <si>
    <t>十字弩</t>
  </si>
  <si>
    <t>子弹初速</t>
    <phoneticPr fontId="19" type="noConversion"/>
  </si>
  <si>
    <t>头</t>
  </si>
  <si>
    <t>脖子</t>
  </si>
  <si>
    <t>胸部</t>
  </si>
  <si>
    <t>上腹部</t>
  </si>
  <si>
    <t>中腹部</t>
  </si>
  <si>
    <t>下腹部</t>
  </si>
  <si>
    <t>平底锅</t>
  </si>
  <si>
    <t>撬棍</t>
  </si>
  <si>
    <t>弯刀</t>
  </si>
  <si>
    <t>镰刀</t>
  </si>
  <si>
    <t>躯干</t>
  </si>
  <si>
    <t>手臂</t>
  </si>
  <si>
    <t>是</t>
    <phoneticPr fontId="19" type="noConversion"/>
  </si>
  <si>
    <t>列1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</si>
</sst>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"/>
    <numFmt numFmtId="177" formatCode="0.0000"/>
    <numFmt numFmtId="178" formatCode="0.000"/>
  </numFmts>
  <fonts count="21">
    <font>
      <sz val="11"/>
      <color theme="1"/>
      <name val="Calibri"/>
      <family val="2"/>
      <charset val="1"/>
    </font>
    <font>
      <b/>
      <sz val="11"/>
      <color rgb="FFFFFFFF"/>
      <name val="Droid Sans Fallback"/>
      <family val="2"/>
      <charset val="1"/>
    </font>
    <font>
      <b/>
      <sz val="11"/>
      <color rgb="FFFFFFFF"/>
      <name val="Cambria"/>
      <family val="1"/>
    </font>
    <font>
      <sz val="11"/>
      <color theme="1"/>
      <name val="Droid Sans Fallback"/>
      <family val="2"/>
      <charset val="1"/>
    </font>
    <font>
      <b/>
      <sz val="20"/>
      <color rgb="FFF39C12"/>
      <name val="Cambria"/>
      <family val="1"/>
    </font>
    <font>
      <b/>
      <sz val="20"/>
      <color rgb="FFF39C12"/>
      <name val="Droid Sans Fallback"/>
      <family val="2"/>
      <charset val="1"/>
    </font>
    <font>
      <sz val="12"/>
      <color rgb="FFAAAAAA"/>
      <name val="Cambria"/>
      <family val="1"/>
    </font>
    <font>
      <b/>
      <sz val="14"/>
      <color rgb="FFE67E22"/>
      <name val="Droid Sans Fallback"/>
      <family val="2"/>
      <charset val="1"/>
    </font>
    <font>
      <sz val="11"/>
      <color rgb="FFFFFFFF"/>
      <name val="Cambria"/>
      <family val="1"/>
    </font>
    <font>
      <sz val="11"/>
      <color rgb="FFFFFFFF"/>
      <name val="Droid Sans Fallback"/>
      <family val="2"/>
      <charset val="1"/>
    </font>
    <font>
      <sz val="10"/>
      <color rgb="FFAAAAAA"/>
      <name val="Droid Sans Fallback"/>
      <family val="2"/>
      <charset val="1"/>
    </font>
    <font>
      <sz val="10"/>
      <color rgb="FFAAAAAA"/>
      <name val="Cambria"/>
      <family val="1"/>
    </font>
    <font>
      <sz val="10"/>
      <color rgb="FFFFFFFF"/>
      <name val="Cambria"/>
      <family val="1"/>
    </font>
    <font>
      <b/>
      <sz val="14"/>
      <color rgb="FFFFFFFF"/>
      <name val="Cambria"/>
      <family val="1"/>
    </font>
    <font>
      <i/>
      <sz val="8"/>
      <color rgb="FF666666"/>
      <name val="Droid Sans Fallback"/>
      <family val="2"/>
      <charset val="1"/>
    </font>
    <font>
      <i/>
      <sz val="8"/>
      <color rgb="FF666666"/>
      <name val="Cambria"/>
      <family val="1"/>
    </font>
    <font>
      <b/>
      <sz val="12"/>
      <color rgb="FFF39C12"/>
      <name val="Droid Sans Fallback"/>
      <family val="2"/>
      <charset val="1"/>
    </font>
    <font>
      <sz val="9"/>
      <color rgb="FF888888"/>
      <name val="Cambria"/>
      <family val="1"/>
    </font>
    <font>
      <sz val="9"/>
      <color rgb="FF888888"/>
      <name val="Droid Sans Fallback"/>
      <family val="2"/>
      <charset val="1"/>
    </font>
    <font>
      <sz val="9"/>
      <name val="宋体"/>
      <family val="3"/>
      <charset val="134"/>
    </font>
    <font>
      <sz val="11"/>
      <color rgb="FF000000"/>
      <name val="宋体"/>
      <family val="2"/>
    </font>
  </fonts>
  <fills count="6">
    <fill>
      <patternFill patternType="none"/>
    </fill>
    <fill>
      <patternFill patternType="gray125"/>
    </fill>
    <fill>
      <patternFill patternType="solid">
        <fgColor rgb="FF2C3E50"/>
        <bgColor rgb="FF34495E"/>
      </patternFill>
    </fill>
    <fill>
      <patternFill patternType="solid">
        <fgColor rgb="FF1E1E1E"/>
        <bgColor rgb="FF003300"/>
      </patternFill>
    </fill>
    <fill>
      <patternFill patternType="solid">
        <fgColor rgb="FF34495E"/>
        <bgColor rgb="FF2C3E50"/>
      </patternFill>
    </fill>
    <fill>
      <patternFill patternType="solid">
        <fgColor rgb="FF27AE60"/>
        <bgColor rgb="FF008080"/>
      </patternFill>
    </fill>
  </fills>
  <borders count="3">
    <border>
      <left/>
      <right/>
      <top/>
      <bottom/>
      <diagonal/>
    </border>
    <border>
      <left style="thin">
        <color rgb="FFE67E22"/>
      </left>
      <right style="thin">
        <color rgb="FFE67E22"/>
      </right>
      <top style="thin">
        <color rgb="FFE67E22"/>
      </top>
      <bottom style="thin">
        <color rgb="FFE67E22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3" borderId="0" xfId="0" applyFill="1"/>
    <xf numFmtId="0" fontId="1" fillId="3" borderId="0" xfId="0" applyFont="1" applyFill="1" applyAlignment="1">
      <alignment horizontal="right" vertical="center"/>
    </xf>
    <xf numFmtId="0" fontId="8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right" vertical="center"/>
    </xf>
    <xf numFmtId="1" fontId="12" fillId="2" borderId="0" xfId="0" applyNumberFormat="1" applyFont="1" applyFill="1" applyAlignment="1">
      <alignment horizontal="center" vertical="center"/>
    </xf>
    <xf numFmtId="2" fontId="12" fillId="2" borderId="0" xfId="0" applyNumberFormat="1" applyFont="1" applyFill="1" applyAlignment="1">
      <alignment horizontal="center" vertical="center"/>
    </xf>
    <xf numFmtId="176" fontId="12" fillId="2" borderId="0" xfId="0" applyNumberFormat="1" applyFont="1" applyFill="1" applyAlignment="1">
      <alignment horizontal="center" vertical="center"/>
    </xf>
    <xf numFmtId="177" fontId="12" fillId="2" borderId="0" xfId="0" applyNumberFormat="1" applyFont="1" applyFill="1" applyAlignment="1">
      <alignment horizontal="center" vertical="center"/>
    </xf>
    <xf numFmtId="2" fontId="13" fillId="5" borderId="2" xfId="0" applyNumberFormat="1" applyFont="1" applyFill="1" applyBorder="1" applyAlignment="1">
      <alignment horizontal="center" vertical="center"/>
    </xf>
    <xf numFmtId="0" fontId="10" fillId="3" borderId="0" xfId="0" applyFont="1" applyFill="1" applyAlignment="1">
      <alignment horizontal="left" vertical="center"/>
    </xf>
    <xf numFmtId="1" fontId="13" fillId="5" borderId="2" xfId="0" applyNumberFormat="1" applyFont="1" applyFill="1" applyBorder="1" applyAlignment="1">
      <alignment horizontal="center" vertical="center"/>
    </xf>
    <xf numFmtId="177" fontId="13" fillId="5" borderId="2" xfId="0" applyNumberFormat="1" applyFont="1" applyFill="1" applyBorder="1" applyAlignment="1">
      <alignment horizontal="center" vertical="center"/>
    </xf>
    <xf numFmtId="0" fontId="17" fillId="3" borderId="0" xfId="0" applyFont="1" applyFill="1" applyAlignment="1">
      <alignment horizontal="left" vertical="center"/>
    </xf>
    <xf numFmtId="0" fontId="14" fillId="3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left" vertical="center"/>
    </xf>
    <xf numFmtId="0" fontId="20" fillId="0" borderId="0" xfId="0" applyFont="1" applyBorder="1" applyAlignment="1">
      <alignment horizontal="center" vertical="center" wrapText="1"/>
    </xf>
    <xf numFmtId="1" fontId="20" fillId="0" borderId="0" xfId="0" applyNumberFormat="1" applyFont="1" applyBorder="1" applyAlignment="1">
      <alignment horizontal="center" vertical="center" wrapText="1"/>
    </xf>
    <xf numFmtId="178" fontId="20" fillId="0" borderId="0" xfId="0" applyNumberFormat="1" applyFont="1" applyBorder="1" applyAlignment="1">
      <alignment horizontal="center" vertical="center" wrapText="1"/>
    </xf>
    <xf numFmtId="176" fontId="20" fillId="0" borderId="0" xfId="0" applyNumberFormat="1" applyFont="1" applyBorder="1" applyAlignment="1">
      <alignment horizontal="center" vertical="center" wrapText="1"/>
    </xf>
    <xf numFmtId="177" fontId="20" fillId="0" borderId="0" xfId="0" applyNumberFormat="1" applyFont="1" applyBorder="1" applyAlignment="1">
      <alignment horizontal="center" vertical="center" wrapText="1"/>
    </xf>
    <xf numFmtId="2" fontId="20" fillId="0" borderId="0" xfId="0" applyNumberFormat="1" applyFont="1" applyBorder="1" applyAlignment="1">
      <alignment horizontal="center" vertical="center" wrapText="1"/>
    </xf>
    <xf numFmtId="0" fontId="0" fillId="0" borderId="0" xfId="0" applyBorder="1"/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39C12"/>
      <rgbColor rgb="FFE67E22"/>
      <rgbColor rgb="FF666666"/>
      <rgbColor rgb="FFAAAAAA"/>
      <rgbColor rgb="FF003366"/>
      <rgbColor rgb="FF27AE60"/>
      <rgbColor rgb="FF003300"/>
      <rgbColor rgb="FF1E1E1E"/>
      <rgbColor rgb="FF993300"/>
      <rgbColor rgb="FF993366"/>
      <rgbColor rgb="FF34495E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55"/>
  <sheetViews>
    <sheetView zoomScaleNormal="100" workbookViewId="0">
      <selection activeCell="C19" sqref="C19"/>
    </sheetView>
  </sheetViews>
  <sheetFormatPr defaultColWidth="8.6640625" defaultRowHeight="14.4"/>
  <cols>
    <col min="1" max="1" width="15.33203125" customWidth="1"/>
    <col min="2" max="2" width="12" customWidth="1"/>
    <col min="3" max="4" width="14" customWidth="1"/>
  </cols>
  <sheetData>
    <row r="1" spans="1:13">
      <c r="A1" s="1" t="s">
        <v>0</v>
      </c>
      <c r="B1" s="1" t="s">
        <v>1</v>
      </c>
      <c r="C1" s="1" t="s">
        <v>102</v>
      </c>
      <c r="D1" s="1" t="s">
        <v>2</v>
      </c>
      <c r="E1" s="1" t="s">
        <v>103</v>
      </c>
      <c r="F1" s="1" t="s">
        <v>104</v>
      </c>
      <c r="G1" s="1" t="s">
        <v>105</v>
      </c>
      <c r="H1" s="1" t="s">
        <v>106</v>
      </c>
      <c r="I1" s="1" t="s">
        <v>107</v>
      </c>
      <c r="J1" s="1" t="s">
        <v>108</v>
      </c>
      <c r="K1" s="1" t="s">
        <v>21</v>
      </c>
      <c r="L1" s="1" t="s">
        <v>113</v>
      </c>
      <c r="M1" s="1" t="s">
        <v>114</v>
      </c>
    </row>
    <row r="2" spans="1:13">
      <c r="A2" s="24" t="s">
        <v>72</v>
      </c>
      <c r="B2" s="25">
        <v>43</v>
      </c>
      <c r="C2" s="25">
        <v>720</v>
      </c>
      <c r="D2" s="26">
        <v>8.7999999999999995E-2</v>
      </c>
      <c r="E2" s="25">
        <v>101</v>
      </c>
      <c r="F2" s="27">
        <v>75.7</v>
      </c>
      <c r="G2" s="27">
        <v>47.3</v>
      </c>
      <c r="H2" s="25">
        <v>43</v>
      </c>
      <c r="I2" s="27">
        <v>40.799999999999997</v>
      </c>
      <c r="J2" s="25">
        <v>43</v>
      </c>
      <c r="K2" s="27">
        <v>11.6</v>
      </c>
      <c r="L2" s="27">
        <v>19.3</v>
      </c>
      <c r="M2" s="27">
        <v>23.2</v>
      </c>
    </row>
    <row r="3" spans="1:13">
      <c r="A3" s="24" t="s">
        <v>74</v>
      </c>
      <c r="B3" s="25">
        <v>41</v>
      </c>
      <c r="C3" s="25">
        <v>880</v>
      </c>
      <c r="D3" s="28">
        <v>8.5699999999999998E-2</v>
      </c>
      <c r="E3" s="27">
        <v>96.3</v>
      </c>
      <c r="F3" s="27">
        <v>72.2</v>
      </c>
      <c r="G3" s="27">
        <v>45.1</v>
      </c>
      <c r="H3" s="25">
        <v>41</v>
      </c>
      <c r="I3" s="27">
        <v>38.9</v>
      </c>
      <c r="J3" s="25">
        <v>41</v>
      </c>
      <c r="K3" s="25">
        <v>11</v>
      </c>
      <c r="L3" s="27">
        <v>18.399999999999999</v>
      </c>
      <c r="M3" s="27">
        <v>22.1</v>
      </c>
    </row>
    <row r="4" spans="1:13">
      <c r="A4" s="24" t="s">
        <v>62</v>
      </c>
      <c r="B4" s="25">
        <v>44</v>
      </c>
      <c r="C4" s="25">
        <v>900</v>
      </c>
      <c r="D4" s="27">
        <v>0.1</v>
      </c>
      <c r="E4" s="27">
        <v>119.8</v>
      </c>
      <c r="F4" s="29">
        <v>89.39</v>
      </c>
      <c r="G4" s="27">
        <v>58.9</v>
      </c>
      <c r="H4" s="27">
        <v>53.5</v>
      </c>
      <c r="I4" s="27">
        <v>50.8</v>
      </c>
      <c r="J4" s="27">
        <v>53.5</v>
      </c>
      <c r="K4" s="27">
        <v>14.5</v>
      </c>
      <c r="L4" s="27">
        <v>24.2</v>
      </c>
      <c r="M4" s="25">
        <v>29</v>
      </c>
    </row>
    <row r="5" spans="1:13">
      <c r="A5" s="24" t="s">
        <v>75</v>
      </c>
      <c r="B5" s="25">
        <v>118</v>
      </c>
      <c r="C5" s="25">
        <v>1200</v>
      </c>
      <c r="D5" s="27">
        <v>0.8</v>
      </c>
      <c r="E5" s="25">
        <v>295</v>
      </c>
      <c r="F5" s="27">
        <v>221.2</v>
      </c>
      <c r="G5" s="27">
        <v>168.7</v>
      </c>
      <c r="H5" s="27">
        <v>153.4</v>
      </c>
      <c r="I5" s="27">
        <v>145.69999999999999</v>
      </c>
      <c r="J5" s="27">
        <v>153.4</v>
      </c>
      <c r="K5" s="27">
        <v>33.6</v>
      </c>
      <c r="L5" s="25">
        <v>56</v>
      </c>
      <c r="M5" s="27">
        <v>67.2</v>
      </c>
    </row>
    <row r="6" spans="1:13">
      <c r="A6" s="24" t="s">
        <v>76</v>
      </c>
      <c r="B6" s="25">
        <v>79</v>
      </c>
      <c r="C6" s="25">
        <v>760</v>
      </c>
      <c r="D6" s="29">
        <v>1.68</v>
      </c>
      <c r="E6" s="27">
        <v>197.5</v>
      </c>
      <c r="F6" s="27">
        <v>148.1</v>
      </c>
      <c r="G6" s="27">
        <v>112.9</v>
      </c>
      <c r="H6" s="27">
        <v>102.7</v>
      </c>
      <c r="I6" s="27">
        <v>97.5</v>
      </c>
      <c r="J6" s="27">
        <v>102.7</v>
      </c>
      <c r="K6" s="27">
        <v>22.5</v>
      </c>
      <c r="L6" s="27">
        <v>37.5</v>
      </c>
      <c r="M6" s="25">
        <v>45</v>
      </c>
    </row>
    <row r="7" spans="1:13">
      <c r="A7" s="24" t="s">
        <v>61</v>
      </c>
      <c r="B7" s="25">
        <v>45</v>
      </c>
      <c r="C7" s="25">
        <v>330</v>
      </c>
      <c r="D7" s="28">
        <v>8.5699999999999998E-2</v>
      </c>
      <c r="E7" s="27">
        <v>101.3</v>
      </c>
      <c r="F7" s="27">
        <v>76.099999999999994</v>
      </c>
      <c r="G7" s="27">
        <v>49.8</v>
      </c>
      <c r="H7" s="27">
        <v>45.3</v>
      </c>
      <c r="I7" s="25">
        <v>43</v>
      </c>
      <c r="J7" s="27">
        <v>45.3</v>
      </c>
      <c r="K7" s="27">
        <v>12.2</v>
      </c>
      <c r="L7" s="27">
        <v>20.399999999999999</v>
      </c>
      <c r="M7" s="27">
        <v>24.5</v>
      </c>
    </row>
    <row r="8" spans="1:13">
      <c r="A8" s="24" t="s">
        <v>60</v>
      </c>
      <c r="B8" s="25">
        <v>47</v>
      </c>
      <c r="C8" s="25">
        <v>800</v>
      </c>
      <c r="D8" s="28">
        <v>0.18149999999999999</v>
      </c>
      <c r="E8" s="27">
        <v>124.5</v>
      </c>
      <c r="F8" s="27">
        <v>93.4</v>
      </c>
      <c r="G8" s="27">
        <v>61.2</v>
      </c>
      <c r="H8" s="27">
        <v>55.6</v>
      </c>
      <c r="I8" s="27">
        <v>52.8</v>
      </c>
      <c r="J8" s="27">
        <v>55.6</v>
      </c>
      <c r="K8" s="27">
        <v>15.1</v>
      </c>
      <c r="L8" s="27">
        <v>25.1</v>
      </c>
      <c r="M8" s="27">
        <v>30.2</v>
      </c>
    </row>
    <row r="9" spans="1:13">
      <c r="A9" s="24" t="s">
        <v>77</v>
      </c>
      <c r="B9" s="25">
        <v>54</v>
      </c>
      <c r="C9" s="25">
        <v>853</v>
      </c>
      <c r="D9" s="28">
        <v>0.18149999999999999</v>
      </c>
      <c r="E9" s="27">
        <v>143.30000000000001</v>
      </c>
      <c r="F9" s="27">
        <v>107.5</v>
      </c>
      <c r="G9" s="27">
        <v>70.400000000000006</v>
      </c>
      <c r="H9" s="25">
        <v>64</v>
      </c>
      <c r="I9" s="27">
        <v>60.8</v>
      </c>
      <c r="J9" s="25">
        <v>64</v>
      </c>
      <c r="K9" s="27">
        <v>17.3</v>
      </c>
      <c r="L9" s="27">
        <v>28.9</v>
      </c>
      <c r="M9" s="27">
        <v>34.700000000000003</v>
      </c>
    </row>
    <row r="10" spans="1:13">
      <c r="A10" s="24" t="s">
        <v>78</v>
      </c>
      <c r="B10" s="25">
        <v>49</v>
      </c>
      <c r="C10" s="25">
        <v>840</v>
      </c>
      <c r="D10" s="28">
        <v>0.18149999999999999</v>
      </c>
      <c r="E10" s="27">
        <v>131.6</v>
      </c>
      <c r="F10" s="27">
        <v>98.7</v>
      </c>
      <c r="G10" s="27">
        <v>64.599999999999994</v>
      </c>
      <c r="H10" s="27">
        <v>58.8</v>
      </c>
      <c r="I10" s="27">
        <v>58.8</v>
      </c>
      <c r="J10" s="27">
        <v>58.8</v>
      </c>
      <c r="K10" s="27">
        <v>15.9</v>
      </c>
      <c r="L10" s="27">
        <v>26.6</v>
      </c>
      <c r="M10" s="27">
        <v>31.9</v>
      </c>
    </row>
    <row r="11" spans="1:13">
      <c r="A11" s="24" t="s">
        <v>59</v>
      </c>
      <c r="B11" s="25">
        <v>42</v>
      </c>
      <c r="C11" s="25">
        <v>990</v>
      </c>
      <c r="D11" s="26">
        <v>0.13300000000000001</v>
      </c>
      <c r="E11" s="27">
        <v>110.5</v>
      </c>
      <c r="F11" s="27">
        <v>82.7</v>
      </c>
      <c r="G11" s="27">
        <v>54.3</v>
      </c>
      <c r="H11" s="27">
        <v>49.4</v>
      </c>
      <c r="I11" s="27">
        <v>46.8</v>
      </c>
      <c r="J11" s="27">
        <v>49.4</v>
      </c>
      <c r="K11" s="27">
        <v>13.4</v>
      </c>
      <c r="L11" s="27">
        <v>22.3</v>
      </c>
      <c r="M11" s="27">
        <v>26.8</v>
      </c>
    </row>
    <row r="12" spans="1:13">
      <c r="A12" s="24" t="s">
        <v>79</v>
      </c>
      <c r="B12" s="25">
        <v>42</v>
      </c>
      <c r="C12" s="25">
        <v>945</v>
      </c>
      <c r="D12" s="27">
        <v>0.1</v>
      </c>
      <c r="E12" s="27">
        <v>112.8</v>
      </c>
      <c r="F12" s="27">
        <v>84.6</v>
      </c>
      <c r="G12" s="27">
        <v>55.4</v>
      </c>
      <c r="H12" s="27">
        <v>50.4</v>
      </c>
      <c r="I12" s="27">
        <v>47.8</v>
      </c>
      <c r="J12" s="27">
        <v>50.4</v>
      </c>
      <c r="K12" s="27">
        <v>13.6</v>
      </c>
      <c r="L12" s="27">
        <v>22.7</v>
      </c>
      <c r="M12" s="27">
        <v>27.3</v>
      </c>
    </row>
    <row r="13" spans="1:13">
      <c r="A13" s="24" t="s">
        <v>80</v>
      </c>
      <c r="B13" s="25">
        <v>79</v>
      </c>
      <c r="C13" s="25">
        <v>760</v>
      </c>
      <c r="D13" s="29">
        <v>1.68</v>
      </c>
      <c r="E13" s="27">
        <v>197.5</v>
      </c>
      <c r="F13" s="27">
        <v>148.1</v>
      </c>
      <c r="G13" s="27">
        <v>112.9</v>
      </c>
      <c r="H13" s="27">
        <v>102.7</v>
      </c>
      <c r="I13" s="27">
        <v>97.5</v>
      </c>
      <c r="J13" s="27">
        <v>102.7</v>
      </c>
      <c r="K13" s="27">
        <v>22.5</v>
      </c>
      <c r="L13" s="27">
        <v>37.5</v>
      </c>
      <c r="M13" s="25">
        <v>45</v>
      </c>
    </row>
    <row r="14" spans="1:13">
      <c r="A14" s="24" t="s">
        <v>58</v>
      </c>
      <c r="B14" s="25">
        <v>75</v>
      </c>
      <c r="C14" s="25">
        <v>790</v>
      </c>
      <c r="D14" s="29">
        <v>1.55</v>
      </c>
      <c r="E14" s="27">
        <v>187.5</v>
      </c>
      <c r="F14" s="27">
        <v>140.6</v>
      </c>
      <c r="G14" s="27">
        <v>107.2</v>
      </c>
      <c r="H14" s="27">
        <v>97.5</v>
      </c>
      <c r="I14" s="27">
        <v>92.6</v>
      </c>
      <c r="J14" s="27">
        <v>82.5</v>
      </c>
      <c r="K14" s="27">
        <v>21.3</v>
      </c>
      <c r="L14" s="27">
        <v>35.6</v>
      </c>
      <c r="M14" s="27">
        <v>42.7</v>
      </c>
    </row>
    <row r="15" spans="1:13">
      <c r="A15" s="24" t="s">
        <v>81</v>
      </c>
      <c r="B15" s="25">
        <v>66</v>
      </c>
      <c r="C15" s="25">
        <v>760</v>
      </c>
      <c r="D15" s="27">
        <v>0.6</v>
      </c>
      <c r="E15" s="25">
        <v>165</v>
      </c>
      <c r="F15" s="27">
        <v>123.7</v>
      </c>
      <c r="G15" s="27">
        <v>94.3</v>
      </c>
      <c r="H15" s="27">
        <v>85.8</v>
      </c>
      <c r="I15" s="27">
        <v>81.5</v>
      </c>
      <c r="J15" s="27">
        <v>72.599999999999994</v>
      </c>
      <c r="K15" s="27">
        <v>18.8</v>
      </c>
      <c r="L15" s="27">
        <v>31.3</v>
      </c>
      <c r="M15" s="27">
        <v>37.6</v>
      </c>
    </row>
    <row r="16" spans="1:13">
      <c r="A16" s="24" t="s">
        <v>57</v>
      </c>
      <c r="B16" s="25">
        <v>105</v>
      </c>
      <c r="C16" s="25">
        <v>945</v>
      </c>
      <c r="D16" s="29">
        <v>2.12</v>
      </c>
      <c r="E16" s="27">
        <v>262.5</v>
      </c>
      <c r="F16" s="27">
        <v>196.9</v>
      </c>
      <c r="G16" s="27">
        <v>150.19999999999999</v>
      </c>
      <c r="H16" s="27">
        <v>136.5</v>
      </c>
      <c r="I16" s="27">
        <v>129.6</v>
      </c>
      <c r="J16" s="27">
        <v>115.5</v>
      </c>
      <c r="K16" s="27">
        <v>29.9</v>
      </c>
      <c r="L16" s="27">
        <v>49.9</v>
      </c>
      <c r="M16" s="27">
        <v>59.9</v>
      </c>
    </row>
    <row r="17" spans="1:13">
      <c r="A17" s="24" t="s">
        <v>82</v>
      </c>
      <c r="B17" s="25">
        <v>49</v>
      </c>
      <c r="C17" s="25">
        <v>780</v>
      </c>
      <c r="D17" s="28">
        <v>9.1600000000000001E-2</v>
      </c>
      <c r="E17" s="27">
        <v>115.1</v>
      </c>
      <c r="F17" s="27">
        <v>86.3</v>
      </c>
      <c r="G17" s="27">
        <v>53.9</v>
      </c>
      <c r="H17" s="25">
        <v>49</v>
      </c>
      <c r="I17" s="27">
        <v>46.5</v>
      </c>
      <c r="J17" s="25">
        <v>49</v>
      </c>
      <c r="K17" s="27">
        <v>13.2</v>
      </c>
      <c r="L17" s="25">
        <v>22</v>
      </c>
      <c r="M17" s="27">
        <v>26.4</v>
      </c>
    </row>
    <row r="18" spans="1:13">
      <c r="A18" s="24" t="s">
        <v>4</v>
      </c>
      <c r="B18" s="25">
        <v>48</v>
      </c>
      <c r="C18" s="25">
        <v>715</v>
      </c>
      <c r="D18" s="27">
        <v>0.1</v>
      </c>
      <c r="E18" s="27">
        <v>110.4</v>
      </c>
      <c r="F18" s="27">
        <v>82.8</v>
      </c>
      <c r="G18" s="27">
        <v>51.7</v>
      </c>
      <c r="H18" s="25">
        <v>47</v>
      </c>
      <c r="I18" s="27">
        <v>44.6</v>
      </c>
      <c r="J18" s="25">
        <v>47</v>
      </c>
      <c r="K18" s="27">
        <v>12.6</v>
      </c>
      <c r="L18" s="27">
        <v>21.1</v>
      </c>
      <c r="M18" s="27">
        <v>25.3</v>
      </c>
    </row>
    <row r="19" spans="1:13">
      <c r="A19" s="24" t="s">
        <v>53</v>
      </c>
      <c r="B19" s="25">
        <v>47</v>
      </c>
      <c r="C19" s="25">
        <v>715</v>
      </c>
      <c r="D19" s="29">
        <v>0.08</v>
      </c>
      <c r="E19" s="27">
        <v>110.4</v>
      </c>
      <c r="F19" s="27">
        <v>82.8</v>
      </c>
      <c r="G19" s="27">
        <v>51.7</v>
      </c>
      <c r="H19" s="25">
        <v>47</v>
      </c>
      <c r="I19" s="27">
        <v>44.6</v>
      </c>
      <c r="J19" s="25">
        <v>47</v>
      </c>
      <c r="K19" s="27">
        <v>12.6</v>
      </c>
      <c r="L19" s="27">
        <v>21.1</v>
      </c>
      <c r="M19" s="27">
        <v>25.3</v>
      </c>
    </row>
    <row r="20" spans="1:13">
      <c r="A20" s="24" t="s">
        <v>83</v>
      </c>
      <c r="B20" s="25">
        <v>44</v>
      </c>
      <c r="C20" s="25">
        <v>720</v>
      </c>
      <c r="D20" s="28">
        <v>8.5699999999999998E-2</v>
      </c>
      <c r="E20" s="27">
        <v>103.4</v>
      </c>
      <c r="F20" s="27">
        <v>77.5</v>
      </c>
      <c r="G20" s="27">
        <v>48.4</v>
      </c>
      <c r="H20" s="25">
        <v>44</v>
      </c>
      <c r="I20" s="27">
        <v>41.8</v>
      </c>
      <c r="J20" s="25">
        <v>44</v>
      </c>
      <c r="K20" s="27">
        <v>11.8</v>
      </c>
      <c r="L20" s="27">
        <v>19.8</v>
      </c>
      <c r="M20" s="27">
        <v>23.7</v>
      </c>
    </row>
    <row r="21" spans="1:13">
      <c r="A21" s="24" t="s">
        <v>3</v>
      </c>
      <c r="B21" s="25">
        <v>40</v>
      </c>
      <c r="C21" s="25">
        <v>880</v>
      </c>
      <c r="D21" s="28">
        <v>8.5699999999999998E-2</v>
      </c>
      <c r="E21" s="27">
        <v>94.1</v>
      </c>
      <c r="F21" s="27">
        <v>70.5</v>
      </c>
      <c r="G21" s="25">
        <v>44</v>
      </c>
      <c r="H21" s="25">
        <v>40</v>
      </c>
      <c r="I21" s="25">
        <v>38</v>
      </c>
      <c r="J21" s="25">
        <v>40</v>
      </c>
      <c r="K21" s="27">
        <v>10.8</v>
      </c>
      <c r="L21" s="25">
        <v>18</v>
      </c>
      <c r="M21" s="27">
        <v>21.6</v>
      </c>
    </row>
    <row r="22" spans="1:13">
      <c r="A22" s="24" t="s">
        <v>50</v>
      </c>
      <c r="B22" s="25">
        <v>43</v>
      </c>
      <c r="C22" s="25">
        <v>900</v>
      </c>
      <c r="D22" s="28">
        <v>8.9099999999999999E-2</v>
      </c>
      <c r="E22" s="29">
        <v>101.05</v>
      </c>
      <c r="F22" s="29">
        <v>75.78</v>
      </c>
      <c r="G22" s="27">
        <v>47.3</v>
      </c>
      <c r="H22" s="25">
        <v>43</v>
      </c>
      <c r="I22" s="27">
        <v>40.799999999999997</v>
      </c>
      <c r="J22" s="25">
        <v>43</v>
      </c>
      <c r="K22" s="27">
        <v>11.6</v>
      </c>
      <c r="L22" s="27">
        <v>19.3</v>
      </c>
      <c r="M22" s="27">
        <v>23.2</v>
      </c>
    </row>
    <row r="23" spans="1:13">
      <c r="A23" s="24" t="s">
        <v>73</v>
      </c>
      <c r="B23" s="25">
        <v>40</v>
      </c>
      <c r="C23" s="25">
        <v>890</v>
      </c>
      <c r="D23" s="28">
        <v>8.3299999999999999E-2</v>
      </c>
      <c r="E23" s="27">
        <v>98.7</v>
      </c>
      <c r="F23" s="25">
        <v>74</v>
      </c>
      <c r="G23" s="27">
        <v>46.2</v>
      </c>
      <c r="H23" s="25">
        <v>42</v>
      </c>
      <c r="I23" s="27">
        <v>39.9</v>
      </c>
      <c r="J23" s="25">
        <v>42</v>
      </c>
      <c r="K23" s="27">
        <v>11.3</v>
      </c>
      <c r="L23" s="27">
        <v>18.899999999999999</v>
      </c>
      <c r="M23" s="27">
        <v>22.6</v>
      </c>
    </row>
    <row r="24" spans="1:13">
      <c r="A24" s="24" t="s">
        <v>5</v>
      </c>
      <c r="B24" s="25">
        <v>42</v>
      </c>
      <c r="C24" s="25">
        <v>870</v>
      </c>
      <c r="D24" s="28">
        <v>9.2299999999999993E-2</v>
      </c>
      <c r="E24" s="27">
        <v>98.5</v>
      </c>
      <c r="F24" s="27">
        <v>73.900000000000006</v>
      </c>
      <c r="G24" s="27">
        <v>46.2</v>
      </c>
      <c r="H24" s="25">
        <v>42</v>
      </c>
      <c r="I24" s="27">
        <v>39.799999999999997</v>
      </c>
      <c r="J24" s="25">
        <v>42</v>
      </c>
      <c r="K24" s="27">
        <v>11.2</v>
      </c>
      <c r="L24" s="27">
        <v>18.8</v>
      </c>
      <c r="M24" s="27">
        <v>22.6</v>
      </c>
    </row>
    <row r="25" spans="1:13">
      <c r="A25" s="24" t="s">
        <v>51</v>
      </c>
      <c r="B25" s="25">
        <v>42</v>
      </c>
      <c r="C25" s="25">
        <v>930</v>
      </c>
      <c r="D25" s="28">
        <v>9.2299999999999993E-2</v>
      </c>
      <c r="E25" s="27">
        <v>98.5</v>
      </c>
      <c r="F25" s="27">
        <v>73.900000000000006</v>
      </c>
      <c r="G25" s="27">
        <v>46.2</v>
      </c>
      <c r="H25" s="25">
        <v>42</v>
      </c>
      <c r="I25" s="27">
        <v>39.799999999999997</v>
      </c>
      <c r="J25" s="25">
        <v>42</v>
      </c>
      <c r="K25" s="27">
        <v>11.2</v>
      </c>
      <c r="L25" s="27">
        <v>18.8</v>
      </c>
      <c r="M25" s="27">
        <v>22.6</v>
      </c>
    </row>
    <row r="26" spans="1:13">
      <c r="A26" s="24" t="s">
        <v>52</v>
      </c>
      <c r="B26" s="25">
        <v>41</v>
      </c>
      <c r="C26" s="25">
        <v>880</v>
      </c>
      <c r="D26" s="28">
        <v>8.5699999999999998E-2</v>
      </c>
      <c r="E26" s="27">
        <v>96.3</v>
      </c>
      <c r="F26" s="27">
        <v>72.2</v>
      </c>
      <c r="G26" s="27">
        <v>45.1</v>
      </c>
      <c r="H26" s="25">
        <v>41</v>
      </c>
      <c r="I26" s="27">
        <v>38.9</v>
      </c>
      <c r="J26" s="25">
        <v>41</v>
      </c>
      <c r="K26" s="25">
        <v>11</v>
      </c>
      <c r="L26" s="27">
        <v>18.399999999999999</v>
      </c>
      <c r="M26" s="27">
        <v>22.1</v>
      </c>
    </row>
    <row r="27" spans="1:13">
      <c r="A27" s="24" t="s">
        <v>84</v>
      </c>
      <c r="B27" s="25">
        <v>35</v>
      </c>
      <c r="C27" s="25">
        <v>715</v>
      </c>
      <c r="D27" s="29">
        <v>0.06</v>
      </c>
      <c r="E27" s="27">
        <v>73.5</v>
      </c>
      <c r="F27" s="27">
        <v>55.1</v>
      </c>
      <c r="G27" s="27">
        <v>40.4</v>
      </c>
      <c r="H27" s="27">
        <v>36.700000000000003</v>
      </c>
      <c r="I27" s="25">
        <v>35</v>
      </c>
      <c r="J27" s="27">
        <v>36.700000000000003</v>
      </c>
      <c r="K27" s="27">
        <v>13.6</v>
      </c>
      <c r="L27" s="27">
        <v>22.7</v>
      </c>
      <c r="M27" s="27">
        <v>27.3</v>
      </c>
    </row>
    <row r="28" spans="1:13">
      <c r="A28" s="24" t="s">
        <v>85</v>
      </c>
      <c r="B28" s="25">
        <v>26</v>
      </c>
      <c r="C28" s="25">
        <v>350</v>
      </c>
      <c r="D28" s="26">
        <v>4.8000000000000001E-2</v>
      </c>
      <c r="E28" s="27">
        <v>54.6</v>
      </c>
      <c r="F28" s="27">
        <v>40.9</v>
      </c>
      <c r="G28" s="25">
        <v>30</v>
      </c>
      <c r="H28" s="27">
        <v>27.3</v>
      </c>
      <c r="I28" s="25">
        <v>26</v>
      </c>
      <c r="J28" s="27">
        <v>27.3</v>
      </c>
      <c r="K28" s="27">
        <v>10.1</v>
      </c>
      <c r="L28" s="27">
        <v>16.899999999999999</v>
      </c>
      <c r="M28" s="27">
        <v>20.2</v>
      </c>
    </row>
    <row r="29" spans="1:13">
      <c r="A29" s="24" t="s">
        <v>54</v>
      </c>
      <c r="B29" s="25">
        <v>42</v>
      </c>
      <c r="C29" s="25">
        <v>360</v>
      </c>
      <c r="D29" s="29">
        <v>0.09</v>
      </c>
      <c r="E29" s="27">
        <v>86.1</v>
      </c>
      <c r="F29" s="27">
        <v>64.5</v>
      </c>
      <c r="G29" s="27">
        <v>47.3</v>
      </c>
      <c r="H29" s="25">
        <v>43</v>
      </c>
      <c r="I29" s="27">
        <v>40.4</v>
      </c>
      <c r="J29" s="25">
        <v>43</v>
      </c>
      <c r="K29" s="27">
        <v>15.9</v>
      </c>
      <c r="L29" s="27">
        <v>26.6</v>
      </c>
      <c r="M29" s="27">
        <v>31.9</v>
      </c>
    </row>
    <row r="30" spans="1:13">
      <c r="A30" s="24" t="s">
        <v>56</v>
      </c>
      <c r="B30" s="25">
        <v>32</v>
      </c>
      <c r="C30" s="25">
        <v>380</v>
      </c>
      <c r="D30" s="26">
        <v>6.7000000000000004E-2</v>
      </c>
      <c r="E30" s="27">
        <v>69.3</v>
      </c>
      <c r="F30" s="27">
        <v>51.9</v>
      </c>
      <c r="G30" s="27">
        <v>38.1</v>
      </c>
      <c r="H30" s="27">
        <v>34.6</v>
      </c>
      <c r="I30" s="27">
        <v>32.9</v>
      </c>
      <c r="J30" s="25">
        <v>33</v>
      </c>
      <c r="K30" s="27">
        <v>12.8</v>
      </c>
      <c r="L30" s="27">
        <v>21.4</v>
      </c>
      <c r="M30" s="27">
        <v>25.7</v>
      </c>
    </row>
    <row r="31" spans="1:13">
      <c r="A31" s="24" t="s">
        <v>86</v>
      </c>
      <c r="B31" s="25">
        <v>38</v>
      </c>
      <c r="C31" s="25">
        <v>380</v>
      </c>
      <c r="D31" s="28">
        <v>8.5699999999999998E-2</v>
      </c>
      <c r="E31" s="27">
        <v>75.599999999999994</v>
      </c>
      <c r="F31" s="27">
        <v>56.7</v>
      </c>
      <c r="G31" s="27">
        <v>41.3</v>
      </c>
      <c r="H31" s="27">
        <v>37.700000000000003</v>
      </c>
      <c r="I31" s="27">
        <v>36</v>
      </c>
      <c r="J31" s="27">
        <v>37.700000000000003</v>
      </c>
      <c r="K31" s="27">
        <v>14</v>
      </c>
      <c r="L31" s="27">
        <v>23.3</v>
      </c>
      <c r="M31" s="27">
        <v>28.1</v>
      </c>
    </row>
    <row r="32" spans="1:13">
      <c r="A32" s="24" t="s">
        <v>55</v>
      </c>
      <c r="B32" s="25">
        <v>31</v>
      </c>
      <c r="C32" s="25">
        <v>380</v>
      </c>
      <c r="D32" s="26">
        <v>5.3999999999999999E-2</v>
      </c>
      <c r="E32" s="27">
        <v>65.099999999999994</v>
      </c>
      <c r="F32" s="27">
        <v>48.8</v>
      </c>
      <c r="G32" s="27">
        <v>35.799999999999997</v>
      </c>
      <c r="H32" s="27">
        <v>32.5</v>
      </c>
      <c r="I32" s="27">
        <v>30.9</v>
      </c>
      <c r="J32" s="25">
        <v>31</v>
      </c>
      <c r="K32" s="25">
        <v>12</v>
      </c>
      <c r="L32" s="27">
        <v>20.100000000000001</v>
      </c>
      <c r="M32" s="27">
        <v>24.1</v>
      </c>
    </row>
    <row r="33" spans="1:13">
      <c r="A33" s="24" t="s">
        <v>87</v>
      </c>
      <c r="B33" s="25">
        <v>40</v>
      </c>
      <c r="C33" s="25">
        <v>280</v>
      </c>
      <c r="D33" s="29">
        <v>0.08</v>
      </c>
      <c r="E33" s="25">
        <v>84</v>
      </c>
      <c r="F33" s="25">
        <v>63</v>
      </c>
      <c r="G33" s="27">
        <v>46.2</v>
      </c>
      <c r="H33" s="25">
        <v>42</v>
      </c>
      <c r="I33" s="27">
        <v>39.9</v>
      </c>
      <c r="J33" s="25">
        <v>42</v>
      </c>
      <c r="K33" s="27">
        <v>15.6</v>
      </c>
      <c r="L33" s="25">
        <v>26</v>
      </c>
      <c r="M33" s="27">
        <v>31.2</v>
      </c>
    </row>
    <row r="34" spans="1:13">
      <c r="A34" s="24" t="s">
        <v>64</v>
      </c>
      <c r="B34" s="24" t="s">
        <v>88</v>
      </c>
      <c r="C34" s="25">
        <v>370</v>
      </c>
      <c r="D34" s="27">
        <v>0.1</v>
      </c>
      <c r="E34" s="25">
        <v>280</v>
      </c>
      <c r="F34" s="27">
        <v>210.6</v>
      </c>
      <c r="G34" s="27">
        <v>231.6</v>
      </c>
      <c r="H34" s="27">
        <v>210.6</v>
      </c>
      <c r="I34" s="25">
        <v>200</v>
      </c>
      <c r="J34" s="27">
        <v>210.6</v>
      </c>
      <c r="K34" s="27">
        <v>63.1</v>
      </c>
      <c r="L34" s="27">
        <v>105.2</v>
      </c>
      <c r="M34" s="27">
        <v>126.3</v>
      </c>
    </row>
    <row r="35" spans="1:13">
      <c r="A35" s="24" t="s">
        <v>65</v>
      </c>
      <c r="B35" s="24" t="s">
        <v>88</v>
      </c>
      <c r="C35" s="25">
        <v>360</v>
      </c>
      <c r="D35" s="27">
        <v>0.8</v>
      </c>
      <c r="E35" s="27">
        <v>280.8</v>
      </c>
      <c r="F35" s="27">
        <v>210.6</v>
      </c>
      <c r="G35" s="27">
        <v>231.2</v>
      </c>
      <c r="H35" s="27">
        <v>210.8</v>
      </c>
      <c r="I35" s="25">
        <v>200</v>
      </c>
      <c r="J35" s="25">
        <v>210</v>
      </c>
      <c r="K35" s="27">
        <v>63.1</v>
      </c>
      <c r="L35" s="27">
        <v>105.2</v>
      </c>
      <c r="M35" s="27">
        <v>126.2</v>
      </c>
    </row>
    <row r="36" spans="1:13">
      <c r="A36" s="24" t="s">
        <v>89</v>
      </c>
      <c r="B36" s="24" t="s">
        <v>90</v>
      </c>
      <c r="C36" s="25">
        <v>330</v>
      </c>
      <c r="D36" s="29">
        <v>0.25</v>
      </c>
      <c r="E36" s="27">
        <v>283.5</v>
      </c>
      <c r="F36" s="27">
        <v>212.6</v>
      </c>
      <c r="G36" s="27">
        <v>187.1</v>
      </c>
      <c r="H36" s="27">
        <v>170.1</v>
      </c>
      <c r="I36" s="27">
        <v>161.5</v>
      </c>
      <c r="J36" s="27">
        <v>170.1</v>
      </c>
      <c r="K36" s="27">
        <v>59.5</v>
      </c>
      <c r="L36" s="27">
        <v>99.2</v>
      </c>
      <c r="M36" s="25">
        <v>119</v>
      </c>
    </row>
    <row r="37" spans="1:13">
      <c r="A37" s="24" t="s">
        <v>66</v>
      </c>
      <c r="B37" s="24" t="s">
        <v>91</v>
      </c>
      <c r="C37" s="25">
        <v>360</v>
      </c>
      <c r="D37" s="24">
        <v>0.13300000000000001</v>
      </c>
      <c r="E37" s="25">
        <v>280</v>
      </c>
      <c r="F37" s="29">
        <v>210.65</v>
      </c>
      <c r="G37" s="27">
        <v>231.6</v>
      </c>
      <c r="H37" s="27">
        <v>210.6</v>
      </c>
      <c r="I37" s="25">
        <v>200</v>
      </c>
      <c r="J37" s="27">
        <v>210.6</v>
      </c>
      <c r="K37" s="27">
        <v>63.1</v>
      </c>
      <c r="L37" s="27">
        <v>105.3</v>
      </c>
      <c r="M37" s="27">
        <v>126.3</v>
      </c>
    </row>
    <row r="38" spans="1:13">
      <c r="A38" s="24" t="s">
        <v>63</v>
      </c>
      <c r="B38" s="24" t="s">
        <v>92</v>
      </c>
      <c r="C38" s="25">
        <v>350</v>
      </c>
      <c r="D38" s="29">
        <v>0.25</v>
      </c>
      <c r="E38" s="25">
        <v>259</v>
      </c>
      <c r="F38" s="27">
        <v>194.2</v>
      </c>
      <c r="G38" s="27">
        <v>213.4</v>
      </c>
      <c r="H38" s="27">
        <v>194.4</v>
      </c>
      <c r="I38" s="27">
        <v>184.6</v>
      </c>
      <c r="J38" s="27">
        <v>194.4</v>
      </c>
      <c r="K38" s="27">
        <v>58.2</v>
      </c>
      <c r="L38" s="27">
        <v>97.1</v>
      </c>
      <c r="M38" s="27">
        <v>116.5</v>
      </c>
    </row>
    <row r="39" spans="1:13">
      <c r="A39" s="24" t="s">
        <v>93</v>
      </c>
      <c r="B39" s="25">
        <v>0</v>
      </c>
      <c r="C39" s="24" t="s">
        <v>94</v>
      </c>
      <c r="D39" s="25">
        <v>4</v>
      </c>
      <c r="E39" s="25">
        <v>0</v>
      </c>
      <c r="F39" s="25">
        <v>0</v>
      </c>
      <c r="G39" s="25">
        <v>0</v>
      </c>
      <c r="H39" s="25">
        <v>0</v>
      </c>
      <c r="I39" s="25">
        <v>0</v>
      </c>
      <c r="J39" s="25">
        <v>0</v>
      </c>
      <c r="K39" s="25">
        <v>0</v>
      </c>
      <c r="L39" s="25">
        <v>0</v>
      </c>
      <c r="M39" s="25">
        <v>0</v>
      </c>
    </row>
    <row r="40" spans="1:13">
      <c r="A40" s="24" t="s">
        <v>95</v>
      </c>
      <c r="B40" s="25">
        <v>23</v>
      </c>
      <c r="C40" s="25">
        <v>375</v>
      </c>
      <c r="D40" s="29">
        <v>0.06</v>
      </c>
      <c r="E40" s="27">
        <v>47</v>
      </c>
      <c r="F40" s="27">
        <v>34.4</v>
      </c>
      <c r="G40" s="27">
        <v>25.2</v>
      </c>
      <c r="H40" s="27">
        <v>22.9</v>
      </c>
      <c r="I40" s="27">
        <v>21.8</v>
      </c>
      <c r="J40" s="27">
        <v>22.9</v>
      </c>
      <c r="K40" s="27">
        <v>7</v>
      </c>
      <c r="L40" s="27">
        <v>11.8</v>
      </c>
      <c r="M40" s="27">
        <v>14.1</v>
      </c>
    </row>
    <row r="41" spans="1:13">
      <c r="A41" s="24" t="s">
        <v>70</v>
      </c>
      <c r="B41" s="25">
        <v>34</v>
      </c>
      <c r="C41" s="25">
        <v>380</v>
      </c>
      <c r="D41" s="26">
        <v>0.13500000000000001</v>
      </c>
      <c r="E41" s="27">
        <v>72.400000000000006</v>
      </c>
      <c r="F41" s="27">
        <v>54.4</v>
      </c>
      <c r="G41" s="27">
        <v>38.4</v>
      </c>
      <c r="H41" s="27">
        <v>34.9</v>
      </c>
      <c r="I41" s="27">
        <v>33.200000000000003</v>
      </c>
      <c r="J41" s="27">
        <v>34.9</v>
      </c>
      <c r="K41" s="27">
        <v>10.8</v>
      </c>
      <c r="L41" s="27">
        <v>18</v>
      </c>
      <c r="M41" s="27">
        <v>21.7</v>
      </c>
    </row>
    <row r="42" spans="1:13">
      <c r="A42" s="24" t="s">
        <v>96</v>
      </c>
      <c r="B42" s="25">
        <v>65</v>
      </c>
      <c r="C42" s="25">
        <v>330</v>
      </c>
      <c r="D42" s="29">
        <v>0.25</v>
      </c>
      <c r="E42" s="27">
        <v>136.30000000000001</v>
      </c>
      <c r="F42" s="27">
        <v>102</v>
      </c>
      <c r="G42" s="27">
        <v>71.099999999999994</v>
      </c>
      <c r="H42" s="27">
        <v>64.900000000000006</v>
      </c>
      <c r="I42" s="27">
        <v>61.4</v>
      </c>
      <c r="J42" s="27">
        <v>64.900000000000006</v>
      </c>
      <c r="K42" s="27">
        <v>20.3</v>
      </c>
      <c r="L42" s="27">
        <v>34</v>
      </c>
      <c r="M42" s="27">
        <v>40.700000000000003</v>
      </c>
    </row>
    <row r="43" spans="1:13">
      <c r="A43" s="24" t="s">
        <v>69</v>
      </c>
      <c r="B43" s="25">
        <v>42</v>
      </c>
      <c r="C43" s="25">
        <v>250</v>
      </c>
      <c r="D43" s="29">
        <v>0.11</v>
      </c>
      <c r="E43" s="27">
        <v>87.3</v>
      </c>
      <c r="F43" s="27">
        <v>65.5</v>
      </c>
      <c r="G43" s="27">
        <v>45.7</v>
      </c>
      <c r="H43" s="27">
        <v>41.9</v>
      </c>
      <c r="I43" s="27">
        <v>39.4</v>
      </c>
      <c r="J43" s="27">
        <v>41.9</v>
      </c>
      <c r="K43" s="27">
        <v>13</v>
      </c>
      <c r="L43" s="27">
        <v>21.8</v>
      </c>
      <c r="M43" s="27">
        <v>26.1</v>
      </c>
    </row>
    <row r="44" spans="1:13">
      <c r="A44" s="24" t="s">
        <v>71</v>
      </c>
      <c r="B44" s="25">
        <v>64</v>
      </c>
      <c r="C44" s="25">
        <v>330</v>
      </c>
      <c r="D44" s="29">
        <v>0.25</v>
      </c>
      <c r="E44" s="27">
        <v>133.9</v>
      </c>
      <c r="F44" s="27">
        <v>100.4</v>
      </c>
      <c r="G44" s="27">
        <v>70</v>
      </c>
      <c r="H44" s="27">
        <v>63.7</v>
      </c>
      <c r="I44" s="27">
        <v>60.5</v>
      </c>
      <c r="J44" s="27">
        <v>63.7</v>
      </c>
      <c r="K44" s="27">
        <v>20</v>
      </c>
      <c r="L44" s="27">
        <v>33.5</v>
      </c>
      <c r="M44" s="27">
        <v>40.1</v>
      </c>
    </row>
    <row r="45" spans="1:13">
      <c r="A45" s="24" t="s">
        <v>97</v>
      </c>
      <c r="B45" s="25">
        <v>22</v>
      </c>
      <c r="C45" s="25">
        <v>350</v>
      </c>
      <c r="D45" s="26">
        <v>7.0999999999999994E-2</v>
      </c>
      <c r="E45" s="25">
        <v>44</v>
      </c>
      <c r="F45" s="25">
        <v>33</v>
      </c>
      <c r="G45" s="27">
        <v>24.2</v>
      </c>
      <c r="H45" s="25">
        <v>22</v>
      </c>
      <c r="I45" s="27">
        <v>20.9</v>
      </c>
      <c r="J45" s="25">
        <v>22</v>
      </c>
      <c r="K45" s="27">
        <v>6.6</v>
      </c>
      <c r="L45" s="25">
        <v>11</v>
      </c>
      <c r="M45" s="27">
        <v>13.2</v>
      </c>
    </row>
    <row r="46" spans="1:13">
      <c r="A46" s="24" t="s">
        <v>98</v>
      </c>
      <c r="B46" s="25">
        <v>62</v>
      </c>
      <c r="C46" s="25">
        <v>450</v>
      </c>
      <c r="D46" s="29">
        <v>0.25</v>
      </c>
      <c r="E46" s="27">
        <v>130.19999999999999</v>
      </c>
      <c r="F46" s="25">
        <v>93</v>
      </c>
      <c r="G46" s="27">
        <v>68.2</v>
      </c>
      <c r="H46" s="25">
        <v>62</v>
      </c>
      <c r="I46" s="27">
        <v>58.9</v>
      </c>
      <c r="J46" s="25">
        <v>62</v>
      </c>
      <c r="K46" s="27">
        <v>18.5</v>
      </c>
      <c r="L46" s="25">
        <v>31</v>
      </c>
      <c r="M46" s="27">
        <v>37.1</v>
      </c>
    </row>
    <row r="47" spans="1:13">
      <c r="A47" s="24" t="s">
        <v>99</v>
      </c>
      <c r="B47" s="25">
        <v>42</v>
      </c>
      <c r="C47" s="25">
        <v>820</v>
      </c>
      <c r="D47" s="24" t="s">
        <v>100</v>
      </c>
      <c r="E47" s="27">
        <v>96.6</v>
      </c>
      <c r="F47" s="27">
        <v>72.400000000000006</v>
      </c>
      <c r="G47" s="27">
        <v>48.5</v>
      </c>
      <c r="H47" s="27">
        <v>44.1</v>
      </c>
      <c r="I47" s="27">
        <v>41.8</v>
      </c>
      <c r="J47" s="25">
        <v>42</v>
      </c>
      <c r="K47" s="27">
        <v>11.3</v>
      </c>
      <c r="L47" s="27">
        <v>18.899999999999999</v>
      </c>
      <c r="M47" s="27">
        <v>22.6</v>
      </c>
    </row>
    <row r="48" spans="1:13">
      <c r="A48" s="24" t="s">
        <v>67</v>
      </c>
      <c r="B48" s="25">
        <v>41</v>
      </c>
      <c r="C48" s="25">
        <v>915</v>
      </c>
      <c r="D48" s="26">
        <v>7.4999999999999997E-2</v>
      </c>
      <c r="E48" s="27">
        <v>94.3</v>
      </c>
      <c r="F48" s="27">
        <v>70.7</v>
      </c>
      <c r="G48" s="27">
        <v>47.3</v>
      </c>
      <c r="H48" s="25">
        <v>43</v>
      </c>
      <c r="I48" s="27">
        <v>40.799999999999997</v>
      </c>
      <c r="J48" s="25">
        <v>41</v>
      </c>
      <c r="K48" s="25">
        <v>11</v>
      </c>
      <c r="L48" s="27">
        <v>18.399999999999999</v>
      </c>
      <c r="M48" s="27">
        <v>22.1</v>
      </c>
    </row>
    <row r="49" spans="1:13">
      <c r="A49" s="24" t="s">
        <v>68</v>
      </c>
      <c r="B49" s="25">
        <v>52</v>
      </c>
      <c r="C49" s="25">
        <v>715</v>
      </c>
      <c r="D49" s="26">
        <v>0.109</v>
      </c>
      <c r="E49" s="27">
        <v>119.3</v>
      </c>
      <c r="F49" s="27">
        <v>89.6</v>
      </c>
      <c r="G49" s="27">
        <v>57.2</v>
      </c>
      <c r="H49" s="25">
        <v>52</v>
      </c>
      <c r="I49" s="25">
        <v>49</v>
      </c>
      <c r="J49" s="25">
        <v>52</v>
      </c>
      <c r="K49" s="27">
        <v>13.9</v>
      </c>
      <c r="L49" s="27">
        <v>23.2</v>
      </c>
      <c r="M49" s="27">
        <v>27.9</v>
      </c>
    </row>
    <row r="50" spans="1:13">
      <c r="A50" s="24" t="s">
        <v>101</v>
      </c>
      <c r="B50" s="25">
        <v>105</v>
      </c>
      <c r="C50" s="25">
        <v>160</v>
      </c>
      <c r="D50" s="24" t="s">
        <v>94</v>
      </c>
      <c r="E50" s="27">
        <v>241.4</v>
      </c>
      <c r="F50" s="27">
        <v>181.1</v>
      </c>
      <c r="G50" s="27">
        <v>161.6</v>
      </c>
      <c r="H50" s="27">
        <v>146.9</v>
      </c>
      <c r="I50" s="27">
        <v>139.6</v>
      </c>
      <c r="J50" s="27">
        <v>146.9</v>
      </c>
      <c r="K50" s="27">
        <v>37.700000000000003</v>
      </c>
      <c r="L50" s="27">
        <v>62.9</v>
      </c>
      <c r="M50" s="27">
        <v>75.5</v>
      </c>
    </row>
    <row r="51" spans="1:13">
      <c r="A51" s="24" t="s">
        <v>109</v>
      </c>
      <c r="B51" s="25">
        <v>80</v>
      </c>
      <c r="C51" s="24" t="s">
        <v>94</v>
      </c>
      <c r="D51" s="24" t="s">
        <v>94</v>
      </c>
      <c r="E51" s="25">
        <v>120</v>
      </c>
      <c r="F51" s="25">
        <v>90</v>
      </c>
      <c r="G51" s="25">
        <v>88</v>
      </c>
      <c r="H51" s="25">
        <v>80</v>
      </c>
      <c r="I51" s="25">
        <v>76</v>
      </c>
      <c r="J51" s="25">
        <v>80</v>
      </c>
      <c r="K51" s="27">
        <v>28.8</v>
      </c>
      <c r="L51" s="25">
        <v>48</v>
      </c>
      <c r="M51" s="27">
        <v>57.6</v>
      </c>
    </row>
    <row r="52" spans="1:13">
      <c r="A52" s="24" t="s">
        <v>110</v>
      </c>
      <c r="B52" s="25">
        <v>60</v>
      </c>
      <c r="C52" s="24" t="s">
        <v>94</v>
      </c>
      <c r="D52" s="24" t="s">
        <v>94</v>
      </c>
      <c r="E52" s="25">
        <v>90</v>
      </c>
      <c r="F52" s="27">
        <v>67.5</v>
      </c>
      <c r="G52" s="25">
        <v>66</v>
      </c>
      <c r="H52" s="25">
        <v>60</v>
      </c>
      <c r="I52" s="25">
        <v>57</v>
      </c>
      <c r="J52" s="25">
        <v>60</v>
      </c>
      <c r="K52" s="27">
        <v>21.5</v>
      </c>
      <c r="L52" s="25">
        <v>36</v>
      </c>
      <c r="M52" s="27">
        <v>43.1</v>
      </c>
    </row>
    <row r="53" spans="1:13">
      <c r="A53" s="24" t="s">
        <v>111</v>
      </c>
      <c r="B53" s="25">
        <v>60</v>
      </c>
      <c r="C53" s="24" t="s">
        <v>94</v>
      </c>
      <c r="D53" s="24" t="s">
        <v>94</v>
      </c>
      <c r="E53" s="25">
        <v>90</v>
      </c>
      <c r="F53" s="27">
        <v>67.5</v>
      </c>
      <c r="G53" s="25">
        <v>66</v>
      </c>
      <c r="H53" s="25">
        <v>60</v>
      </c>
      <c r="I53" s="25">
        <v>57</v>
      </c>
      <c r="J53" s="25">
        <v>60</v>
      </c>
      <c r="K53" s="27">
        <v>21.5</v>
      </c>
      <c r="L53" s="25">
        <v>36</v>
      </c>
      <c r="M53" s="27">
        <v>43.1</v>
      </c>
    </row>
    <row r="54" spans="1:13">
      <c r="A54" s="24" t="s">
        <v>112</v>
      </c>
      <c r="B54" s="25">
        <v>60</v>
      </c>
      <c r="C54" s="24" t="s">
        <v>94</v>
      </c>
      <c r="D54" s="24" t="s">
        <v>94</v>
      </c>
      <c r="E54" s="25">
        <v>90</v>
      </c>
      <c r="F54" s="27">
        <v>67.5</v>
      </c>
      <c r="G54" s="25">
        <v>66</v>
      </c>
      <c r="H54" s="25">
        <v>60</v>
      </c>
      <c r="I54" s="25">
        <v>57</v>
      </c>
      <c r="J54" s="25">
        <v>60</v>
      </c>
      <c r="K54" s="27">
        <v>21.5</v>
      </c>
      <c r="L54" s="25">
        <v>36</v>
      </c>
      <c r="M54" s="27">
        <v>43.1</v>
      </c>
    </row>
    <row r="55" spans="1:13">
      <c r="K55" s="30"/>
      <c r="L55" s="30"/>
      <c r="M55" s="30"/>
    </row>
  </sheetData>
  <phoneticPr fontId="1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C5"/>
  <sheetViews>
    <sheetView zoomScaleNormal="100" workbookViewId="0">
      <selection activeCell="B43" sqref="B43"/>
    </sheetView>
  </sheetViews>
  <sheetFormatPr defaultColWidth="8.6640625" defaultRowHeight="14.4"/>
  <cols>
    <col min="1" max="2" width="12" customWidth="1"/>
    <col min="3" max="3" width="20" customWidth="1"/>
  </cols>
  <sheetData>
    <row r="1" spans="1:3">
      <c r="A1" s="1" t="s">
        <v>6</v>
      </c>
      <c r="B1" s="1" t="s">
        <v>7</v>
      </c>
      <c r="C1" s="1" t="s">
        <v>8</v>
      </c>
    </row>
    <row r="2" spans="1:3">
      <c r="A2" s="4" t="s">
        <v>9</v>
      </c>
      <c r="B2" s="3">
        <v>0</v>
      </c>
      <c r="C2" s="4" t="s">
        <v>10</v>
      </c>
    </row>
    <row r="3" spans="1:3">
      <c r="A3" s="4" t="s">
        <v>11</v>
      </c>
      <c r="B3" s="3">
        <v>0.3</v>
      </c>
      <c r="C3" s="2" t="s">
        <v>12</v>
      </c>
    </row>
    <row r="4" spans="1:3">
      <c r="A4" s="4" t="s">
        <v>13</v>
      </c>
      <c r="B4" s="3">
        <v>0.4</v>
      </c>
      <c r="C4" s="2" t="s">
        <v>14</v>
      </c>
    </row>
    <row r="5" spans="1:3">
      <c r="A5" s="4" t="s">
        <v>15</v>
      </c>
      <c r="B5" s="3">
        <v>0.55000000000000004</v>
      </c>
      <c r="C5" s="2" t="s">
        <v>16</v>
      </c>
    </row>
  </sheetData>
  <phoneticPr fontId="1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10"/>
  <sheetViews>
    <sheetView zoomScaleNormal="100" workbookViewId="0">
      <selection activeCell="F30" sqref="F30"/>
    </sheetView>
  </sheetViews>
  <sheetFormatPr defaultColWidth="8.6640625" defaultRowHeight="14.4"/>
  <cols>
    <col min="1" max="1" width="14" customWidth="1"/>
    <col min="2" max="2" width="16" customWidth="1"/>
  </cols>
  <sheetData>
    <row r="1" spans="1:2">
      <c r="A1" s="1" t="s">
        <v>17</v>
      </c>
      <c r="B1" s="1" t="s">
        <v>18</v>
      </c>
    </row>
    <row r="2" spans="1:2">
      <c r="A2" s="4" t="s">
        <v>19</v>
      </c>
      <c r="B2" s="4" t="s">
        <v>115</v>
      </c>
    </row>
    <row r="3" spans="1:2">
      <c r="A3" s="4" t="s">
        <v>21</v>
      </c>
      <c r="B3" s="4" t="s">
        <v>20</v>
      </c>
    </row>
    <row r="4" spans="1:2">
      <c r="A4" s="4" t="s">
        <v>104</v>
      </c>
      <c r="B4" s="4" t="s">
        <v>20</v>
      </c>
    </row>
    <row r="5" spans="1:2">
      <c r="A5" s="4" t="s">
        <v>105</v>
      </c>
      <c r="B5" s="4" t="s">
        <v>115</v>
      </c>
    </row>
    <row r="6" spans="1:2">
      <c r="A6" s="4" t="s">
        <v>106</v>
      </c>
      <c r="B6" s="4" t="s">
        <v>115</v>
      </c>
    </row>
    <row r="7" spans="1:2">
      <c r="A7" s="4" t="s">
        <v>107</v>
      </c>
      <c r="B7" s="4" t="s">
        <v>115</v>
      </c>
    </row>
    <row r="8" spans="1:2">
      <c r="A8" s="4" t="s">
        <v>108</v>
      </c>
      <c r="B8" s="4" t="s">
        <v>115</v>
      </c>
    </row>
    <row r="9" spans="1:2">
      <c r="A9" s="4" t="s">
        <v>113</v>
      </c>
      <c r="B9" s="4" t="s">
        <v>115</v>
      </c>
    </row>
    <row r="10" spans="1:2">
      <c r="A10" s="4" t="s">
        <v>114</v>
      </c>
      <c r="B10" s="4" t="s">
        <v>20</v>
      </c>
    </row>
  </sheetData>
  <phoneticPr fontId="1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I29"/>
  <sheetViews>
    <sheetView tabSelected="1" zoomScaleNormal="100" workbookViewId="0">
      <selection activeCell="C19" sqref="C19"/>
    </sheetView>
  </sheetViews>
  <sheetFormatPr defaultColWidth="8.6640625" defaultRowHeight="14.4"/>
  <cols>
    <col min="1" max="1" width="3" customWidth="1"/>
    <col min="2" max="2" width="16" customWidth="1"/>
    <col min="3" max="3" width="14" customWidth="1"/>
    <col min="4" max="4" width="8" customWidth="1"/>
    <col min="5" max="5" width="16" customWidth="1"/>
    <col min="6" max="6" width="14" customWidth="1"/>
    <col min="7" max="8" width="12" customWidth="1"/>
  </cols>
  <sheetData>
    <row r="1" spans="1:9">
      <c r="A1" s="5"/>
      <c r="B1" s="5"/>
      <c r="C1" s="5"/>
      <c r="D1" s="5"/>
      <c r="E1" s="5"/>
      <c r="F1" s="5"/>
      <c r="G1" s="5"/>
      <c r="H1" s="5"/>
      <c r="I1" s="5"/>
    </row>
    <row r="2" spans="1:9" ht="30" customHeight="1">
      <c r="A2" s="5"/>
      <c r="B2" s="21" t="s">
        <v>22</v>
      </c>
      <c r="C2" s="21"/>
      <c r="D2" s="21"/>
      <c r="E2" s="21"/>
      <c r="F2" s="21"/>
      <c r="G2" s="21"/>
      <c r="H2" s="21"/>
      <c r="I2" s="5"/>
    </row>
    <row r="3" spans="1:9" ht="15">
      <c r="A3" s="5"/>
      <c r="B3" s="22" t="s">
        <v>23</v>
      </c>
      <c r="C3" s="22"/>
      <c r="D3" s="22"/>
      <c r="E3" s="22"/>
      <c r="F3" s="22"/>
      <c r="G3" s="22"/>
      <c r="H3" s="22"/>
      <c r="I3" s="5"/>
    </row>
    <row r="4" spans="1:9">
      <c r="A4" s="5"/>
      <c r="B4" s="5"/>
      <c r="C4" s="5"/>
      <c r="D4" s="5"/>
      <c r="E4" s="5"/>
      <c r="F4" s="5"/>
      <c r="G4" s="5"/>
      <c r="H4" s="5"/>
      <c r="I4" s="5"/>
    </row>
    <row r="5" spans="1:9" ht="21.75" customHeight="1">
      <c r="A5" s="5"/>
      <c r="B5" s="23" t="s">
        <v>49</v>
      </c>
      <c r="C5" s="23"/>
      <c r="D5" s="23"/>
      <c r="E5" s="23"/>
      <c r="F5" s="23"/>
      <c r="G5" s="23"/>
      <c r="H5" s="23"/>
      <c r="I5" s="5"/>
    </row>
    <row r="6" spans="1:9">
      <c r="A6" s="5"/>
      <c r="B6" s="5"/>
      <c r="C6" s="5"/>
      <c r="D6" s="5"/>
      <c r="E6" s="5"/>
      <c r="F6" s="5"/>
      <c r="G6" s="5"/>
      <c r="H6" s="5"/>
      <c r="I6" s="5"/>
    </row>
    <row r="7" spans="1:9">
      <c r="A7" s="5"/>
      <c r="B7" s="6" t="s">
        <v>24</v>
      </c>
      <c r="C7" s="7" t="s">
        <v>4</v>
      </c>
      <c r="D7" s="5"/>
      <c r="E7" s="5"/>
      <c r="F7" s="5"/>
      <c r="G7" s="5"/>
      <c r="H7" s="5"/>
      <c r="I7" s="5"/>
    </row>
    <row r="8" spans="1:9">
      <c r="A8" s="5"/>
      <c r="B8" s="6" t="s">
        <v>25</v>
      </c>
      <c r="C8" s="8" t="s">
        <v>15</v>
      </c>
      <c r="D8" s="5"/>
      <c r="E8" s="5"/>
      <c r="F8" s="5"/>
      <c r="G8" s="5"/>
      <c r="H8" s="5"/>
      <c r="I8" s="5"/>
    </row>
    <row r="9" spans="1:9">
      <c r="A9" s="5"/>
      <c r="B9" s="6" t="s">
        <v>26</v>
      </c>
      <c r="C9" s="8" t="s">
        <v>21</v>
      </c>
      <c r="D9" s="5"/>
      <c r="E9" s="5"/>
      <c r="F9" s="5"/>
      <c r="G9" s="5"/>
      <c r="H9" s="5"/>
      <c r="I9" s="5"/>
    </row>
    <row r="10" spans="1:9">
      <c r="A10" s="5"/>
      <c r="B10" s="5"/>
      <c r="C10" s="5"/>
      <c r="D10" s="5"/>
      <c r="E10" s="5"/>
      <c r="F10" s="5"/>
      <c r="G10" s="5"/>
      <c r="H10" s="5"/>
      <c r="I10" s="5"/>
    </row>
    <row r="11" spans="1:9" ht="21.75" customHeight="1">
      <c r="A11" s="5"/>
      <c r="B11" s="23" t="s">
        <v>27</v>
      </c>
      <c r="C11" s="23"/>
      <c r="D11" s="23"/>
      <c r="E11" s="23"/>
      <c r="F11" s="23"/>
      <c r="G11" s="23"/>
      <c r="H11" s="23"/>
      <c r="I11" s="5"/>
    </row>
    <row r="12" spans="1:9">
      <c r="A12" s="5"/>
      <c r="B12" s="5"/>
      <c r="C12" s="5"/>
      <c r="D12" s="5"/>
      <c r="E12" s="5"/>
      <c r="F12" s="5"/>
      <c r="G12" s="5"/>
      <c r="H12" s="5"/>
      <c r="I12" s="5"/>
    </row>
    <row r="13" spans="1:9">
      <c r="A13" s="5"/>
      <c r="B13" s="9" t="s">
        <v>28</v>
      </c>
      <c r="C13" s="10">
        <f>IFERROR(VLOOKUP(C7,武器数据!A:D,2,FALSE()),0)</f>
        <v>48</v>
      </c>
      <c r="D13" s="5"/>
      <c r="E13" s="9" t="s">
        <v>29</v>
      </c>
      <c r="F13" s="11">
        <f>IFERROR(VLOOKUP(C8,防护数据!A:B,2,FALSE()),0)</f>
        <v>0.55000000000000004</v>
      </c>
      <c r="G13" s="5"/>
      <c r="H13" s="5"/>
      <c r="I13" s="5"/>
    </row>
    <row r="14" spans="1:9">
      <c r="A14" s="5"/>
      <c r="B14" s="9" t="s">
        <v>30</v>
      </c>
      <c r="C14" s="12">
        <f>IFERROR(VLOOKUP(C7,武器数据!A:D,3,FALSE()),0)</f>
        <v>715</v>
      </c>
      <c r="D14" s="5"/>
      <c r="E14" s="9" t="s">
        <v>31</v>
      </c>
      <c r="F14" s="12">
        <f>IFERROR(VLOOKUP(C9,部位数据!A:A,2,FALSE()),0)</f>
        <v>0</v>
      </c>
      <c r="G14" s="5"/>
      <c r="H14" s="5"/>
      <c r="I14" s="5"/>
    </row>
    <row r="15" spans="1:9">
      <c r="A15" s="5"/>
      <c r="B15" s="9" t="s">
        <v>32</v>
      </c>
      <c r="C15" s="13">
        <f>IFERROR(VLOOKUP(C7,武器数据!A:D,4,FALSE()),0)</f>
        <v>0.1</v>
      </c>
      <c r="D15" s="5"/>
      <c r="E15" s="5"/>
      <c r="F15" s="5"/>
      <c r="G15" s="5"/>
      <c r="H15" s="5"/>
      <c r="I15" s="5"/>
    </row>
    <row r="16" spans="1:9">
      <c r="A16" s="5"/>
      <c r="B16" s="5"/>
      <c r="C16" s="5"/>
      <c r="D16" s="5"/>
      <c r="E16" s="5"/>
      <c r="F16" s="5"/>
      <c r="G16" s="5"/>
      <c r="H16" s="5"/>
      <c r="I16" s="5"/>
    </row>
    <row r="17" spans="1:9" ht="21.75" customHeight="1">
      <c r="A17" s="5"/>
      <c r="B17" s="23" t="s">
        <v>33</v>
      </c>
      <c r="C17" s="23"/>
      <c r="D17" s="23"/>
      <c r="E17" s="23"/>
      <c r="F17" s="23"/>
      <c r="G17" s="23"/>
      <c r="H17" s="23"/>
      <c r="I17" s="5"/>
    </row>
    <row r="18" spans="1:9">
      <c r="A18" s="5"/>
      <c r="B18" s="5"/>
      <c r="C18" s="5"/>
      <c r="D18" s="5"/>
      <c r="E18" s="5"/>
      <c r="F18" s="5"/>
      <c r="G18" s="5"/>
      <c r="H18" s="5"/>
      <c r="I18" s="5"/>
    </row>
    <row r="19" spans="1:9" ht="17.399999999999999">
      <c r="A19" s="5"/>
      <c r="B19" s="6" t="s">
        <v>34</v>
      </c>
      <c r="C19" s="14">
        <f>IFERROR(C13*IF(C9="四肢",1,1-F13)*F14,0)</f>
        <v>0</v>
      </c>
      <c r="D19" s="15" t="s">
        <v>35</v>
      </c>
      <c r="E19" s="5"/>
      <c r="F19" s="19" t="s">
        <v>36</v>
      </c>
      <c r="G19" s="19"/>
      <c r="H19" s="19"/>
      <c r="I19" s="5"/>
    </row>
    <row r="20" spans="1:9" ht="17.399999999999999">
      <c r="A20" s="5"/>
      <c r="B20" s="6" t="s">
        <v>37</v>
      </c>
      <c r="C20" s="16">
        <f>IFERROR(CEILING(100/C19,1),0)</f>
        <v>0</v>
      </c>
      <c r="D20" s="15" t="s">
        <v>38</v>
      </c>
      <c r="E20" s="5"/>
      <c r="F20" s="19" t="s">
        <v>39</v>
      </c>
      <c r="G20" s="19"/>
      <c r="H20" s="19"/>
      <c r="I20" s="5"/>
    </row>
    <row r="21" spans="1:9" ht="17.399999999999999">
      <c r="A21" s="5"/>
      <c r="B21" s="6" t="s">
        <v>40</v>
      </c>
      <c r="C21" s="17">
        <f>IFERROR(C20*C15,0)</f>
        <v>0</v>
      </c>
      <c r="D21" s="15" t="s">
        <v>41</v>
      </c>
      <c r="E21" s="5"/>
      <c r="F21" s="19" t="s">
        <v>42</v>
      </c>
      <c r="G21" s="19"/>
      <c r="H21" s="19"/>
      <c r="I21" s="5"/>
    </row>
    <row r="22" spans="1:9">
      <c r="A22" s="5"/>
      <c r="B22" s="5"/>
      <c r="C22" s="5"/>
      <c r="D22" s="5"/>
      <c r="E22" s="5"/>
      <c r="F22" s="5"/>
      <c r="G22" s="5"/>
      <c r="H22" s="5"/>
      <c r="I22" s="5"/>
    </row>
    <row r="23" spans="1:9" ht="19.5" customHeight="1">
      <c r="A23" s="5"/>
      <c r="B23" s="20" t="s">
        <v>43</v>
      </c>
      <c r="C23" s="20"/>
      <c r="D23" s="20"/>
      <c r="E23" s="20"/>
      <c r="F23" s="20"/>
      <c r="G23" s="20"/>
      <c r="H23" s="20"/>
      <c r="I23" s="5"/>
    </row>
    <row r="24" spans="1:9">
      <c r="A24" s="5"/>
      <c r="B24" s="18" t="s">
        <v>44</v>
      </c>
      <c r="C24" s="18"/>
      <c r="D24" s="18"/>
      <c r="E24" s="18"/>
      <c r="F24" s="18"/>
      <c r="G24" s="18"/>
      <c r="H24" s="18"/>
      <c r="I24" s="5"/>
    </row>
    <row r="25" spans="1:9">
      <c r="A25" s="5"/>
      <c r="B25" s="18" t="s">
        <v>45</v>
      </c>
      <c r="C25" s="18"/>
      <c r="D25" s="18"/>
      <c r="E25" s="18"/>
      <c r="F25" s="18"/>
      <c r="G25" s="18"/>
      <c r="H25" s="18"/>
      <c r="I25" s="5"/>
    </row>
    <row r="26" spans="1:9">
      <c r="A26" s="5"/>
      <c r="B26" s="18" t="s">
        <v>46</v>
      </c>
      <c r="C26" s="18"/>
      <c r="D26" s="18"/>
      <c r="E26" s="18"/>
      <c r="F26" s="18"/>
      <c r="G26" s="18"/>
      <c r="H26" s="18"/>
      <c r="I26" s="5"/>
    </row>
    <row r="27" spans="1:9">
      <c r="A27" s="5"/>
      <c r="B27" s="18" t="s">
        <v>47</v>
      </c>
      <c r="C27" s="18"/>
      <c r="D27" s="18"/>
      <c r="E27" s="18"/>
      <c r="F27" s="18"/>
      <c r="G27" s="18"/>
      <c r="H27" s="18"/>
      <c r="I27" s="5"/>
    </row>
    <row r="28" spans="1:9">
      <c r="A28" s="5"/>
      <c r="B28" s="18" t="s">
        <v>48</v>
      </c>
      <c r="C28" s="18"/>
      <c r="D28" s="18"/>
      <c r="E28" s="18"/>
      <c r="F28" s="18"/>
      <c r="G28" s="18"/>
      <c r="H28" s="18"/>
      <c r="I28" s="5"/>
    </row>
    <row r="29" spans="1:9">
      <c r="A29" s="5"/>
      <c r="B29" s="5"/>
      <c r="C29" s="5"/>
      <c r="D29" s="5"/>
      <c r="E29" s="5"/>
      <c r="F29" s="5"/>
      <c r="G29" s="5"/>
      <c r="H29" s="5"/>
      <c r="I29" s="5"/>
    </row>
  </sheetData>
  <mergeCells count="14">
    <mergeCell ref="B2:H2"/>
    <mergeCell ref="B3:H3"/>
    <mergeCell ref="B5:H5"/>
    <mergeCell ref="B11:H11"/>
    <mergeCell ref="B17:H17"/>
    <mergeCell ref="B25:H25"/>
    <mergeCell ref="B26:H26"/>
    <mergeCell ref="B27:H27"/>
    <mergeCell ref="B28:H28"/>
    <mergeCell ref="F19:H19"/>
    <mergeCell ref="F20:H20"/>
    <mergeCell ref="F21:H21"/>
    <mergeCell ref="B23:H23"/>
    <mergeCell ref="B24:H24"/>
  </mergeCells>
  <phoneticPr fontId="19" type="noConversion"/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errorTitle="输入错误" error="请从列表中选择武器" xr:uid="{00000000-0002-0000-0300-000000000000}">
          <x14:formula1>
            <xm:f>武器数据!$A$2:$A$4</xm:f>
          </x14:formula1>
          <x14:formula2>
            <xm:f>0</xm:f>
          </x14:formula2>
          <xm:sqref>C7</xm:sqref>
        </x14:dataValidation>
        <x14:dataValidation type="list" errorTitle="输入错误" error="请从列表中选择防护等级" xr:uid="{00000000-0002-0000-0300-000001000000}">
          <x14:formula1>
            <xm:f>防护数据!$A$2:$A$5</xm:f>
          </x14:formula1>
          <x14:formula2>
            <xm:f>0</xm:f>
          </x14:formula2>
          <xm:sqref>C8</xm:sqref>
        </x14:dataValidation>
        <x14:dataValidation type="list" errorTitle="输入错误" error="请从列表中选择攻击部位" xr:uid="{00000000-0002-0000-0300-000002000000}">
          <x14:formula1>
            <xm:f>部位数据!$A$2:$A$3</xm:f>
          </x14:formula1>
          <x14:formula2>
            <xm:f>0</xm:f>
          </x14:formula2>
          <xm:sqref>C9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80D19FC-BC1F-41E0-B7FC-2E1F3F4BE15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武器数据</vt:lpstr>
      <vt:lpstr>防护数据</vt:lpstr>
      <vt:lpstr>部位数据</vt:lpstr>
      <vt:lpstr>战斗模拟器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TianYi Ding</dc:creator>
  <cp:lastModifiedBy>TianYi Ding</cp:lastModifiedBy>
  <dcterms:created xsi:type="dcterms:W3CDTF">2026-05-22T16:17:44Z</dcterms:created>
  <dcterms:modified xsi:type="dcterms:W3CDTF">2026-05-22T16:17:44Z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2026-05-22T07:42:01Z</dcterms:created>
  <dc:creator>openpyxl</dc:creator>
  <dc:description/>
  <dc:language>en-US</dc:language>
  <cp:lastModifiedBy/>
  <dcterms:modified xsi:type="dcterms:W3CDTF">2026-05-22T07:42:01Z</dcterms:modified>
  <cp:revision>0</cp:revision>
  <dc:subject/>
  <dc:title/>
</cp:coreProperties>
</file>